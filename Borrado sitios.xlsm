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litelltda-my.sharepoint.com/personal/pledesma_olitel_cl/Documents/Escritorio/Pîero Ledesma/Nuevas Macros/"/>
    </mc:Choice>
  </mc:AlternateContent>
  <xr:revisionPtr revIDLastSave="129" documentId="13_ncr:1_{F12497F3-FE24-43AB-8C21-A247F930D1A3}" xr6:coauthVersionLast="47" xr6:coauthVersionMax="47" xr10:uidLastSave="{A1A29DD7-F641-4EEE-94C8-19A0D3E3A15E}"/>
  <bookViews>
    <workbookView xWindow="-120" yWindow="-120" windowWidth="29040" windowHeight="15840" tabRatio="471" activeTab="2" xr2:uid="{00000000-000D-0000-FFFF-FFFF00000000}"/>
  </bookViews>
  <sheets>
    <sheet name="BORRADO" sheetId="1" r:id="rId1"/>
    <sheet name="Script" sheetId="2" r:id="rId2"/>
    <sheet name="BORRADO3G" sheetId="3" r:id="rId3"/>
    <sheet name="script_3g" sheetId="4" r:id="rId4"/>
    <sheet name="Script3GRNC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49" i="2" l="1"/>
  <c r="A148" i="2"/>
  <c r="A147" i="2"/>
  <c r="A146" i="2"/>
  <c r="A144" i="2"/>
  <c r="A137" i="2" l="1"/>
  <c r="A66" i="2"/>
  <c r="A65" i="2"/>
  <c r="A68" i="2"/>
  <c r="A67" i="2"/>
  <c r="A50" i="2"/>
  <c r="A48" i="2"/>
  <c r="A46" i="2"/>
  <c r="A9" i="5" l="1"/>
  <c r="A5" i="5"/>
  <c r="A8" i="5"/>
  <c r="A1" i="5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87" i="4"/>
  <c r="A86" i="4"/>
  <c r="A70" i="4"/>
  <c r="A71" i="4"/>
  <c r="A72" i="4"/>
  <c r="A73" i="4"/>
  <c r="A74" i="4"/>
  <c r="A75" i="4"/>
  <c r="A76" i="4"/>
  <c r="A77" i="4"/>
  <c r="A78" i="4"/>
  <c r="A7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30" i="4"/>
  <c r="A18" i="4"/>
  <c r="A19" i="4"/>
  <c r="A20" i="4"/>
  <c r="A21" i="4"/>
  <c r="A22" i="4"/>
  <c r="A23" i="4"/>
  <c r="A24" i="4"/>
  <c r="A25" i="4"/>
  <c r="A17" i="4"/>
  <c r="A16" i="4"/>
  <c r="A15" i="4"/>
  <c r="A14" i="4"/>
  <c r="A12" i="4"/>
  <c r="A5" i="4"/>
  <c r="I9" i="3"/>
  <c r="A1" i="4" l="1"/>
  <c r="A3" i="4"/>
  <c r="I9" i="1"/>
  <c r="A3" i="2" s="1"/>
  <c r="A1" i="2" l="1"/>
  <c r="A329" i="2"/>
  <c r="A317" i="2"/>
  <c r="A318" i="2"/>
  <c r="A319" i="2"/>
  <c r="A320" i="2"/>
  <c r="A321" i="2"/>
  <c r="A322" i="2"/>
  <c r="A323" i="2"/>
  <c r="A324" i="2"/>
  <c r="A325" i="2"/>
  <c r="A301" i="2"/>
  <c r="A302" i="2"/>
  <c r="A303" i="2"/>
  <c r="A304" i="2"/>
  <c r="A305" i="2"/>
  <c r="A306" i="2"/>
  <c r="A307" i="2"/>
  <c r="A308" i="2"/>
  <c r="A309" i="2"/>
  <c r="A285" i="2"/>
  <c r="A286" i="2"/>
  <c r="A287" i="2"/>
  <c r="A288" i="2"/>
  <c r="A289" i="2"/>
  <c r="A290" i="2"/>
  <c r="A291" i="2"/>
  <c r="A292" i="2"/>
  <c r="A293" i="2"/>
  <c r="A269" i="2"/>
  <c r="A270" i="2"/>
  <c r="A271" i="2"/>
  <c r="A272" i="2"/>
  <c r="A273" i="2"/>
  <c r="A274" i="2"/>
  <c r="A275" i="2"/>
  <c r="A276" i="2"/>
  <c r="A277" i="2"/>
  <c r="A253" i="2"/>
  <c r="A254" i="2"/>
  <c r="A255" i="2"/>
  <c r="A256" i="2"/>
  <c r="A257" i="2"/>
  <c r="A258" i="2"/>
  <c r="A259" i="2"/>
  <c r="A260" i="2"/>
  <c r="A261" i="2"/>
  <c r="A237" i="2"/>
  <c r="A238" i="2"/>
  <c r="A239" i="2"/>
  <c r="A240" i="2"/>
  <c r="A241" i="2"/>
  <c r="A242" i="2"/>
  <c r="A243" i="2"/>
  <c r="A244" i="2"/>
  <c r="A245" i="2"/>
  <c r="A221" i="2"/>
  <c r="A222" i="2"/>
  <c r="A223" i="2"/>
  <c r="A224" i="2"/>
  <c r="A225" i="2"/>
  <c r="A226" i="2"/>
  <c r="A227" i="2"/>
  <c r="A228" i="2"/>
  <c r="A229" i="2"/>
  <c r="A205" i="2"/>
  <c r="A206" i="2"/>
  <c r="A207" i="2"/>
  <c r="A208" i="2"/>
  <c r="A209" i="2"/>
  <c r="A210" i="2"/>
  <c r="A211" i="2"/>
  <c r="A212" i="2"/>
  <c r="A213" i="2"/>
  <c r="A189" i="2"/>
  <c r="A190" i="2"/>
  <c r="A191" i="2"/>
  <c r="A192" i="2"/>
  <c r="A193" i="2"/>
  <c r="A194" i="2"/>
  <c r="A195" i="2"/>
  <c r="A196" i="2"/>
  <c r="A197" i="2"/>
  <c r="A181" i="2"/>
  <c r="A180" i="2"/>
  <c r="A177" i="2"/>
  <c r="A174" i="2"/>
  <c r="A179" i="2"/>
  <c r="A176" i="2"/>
  <c r="A178" i="2"/>
  <c r="A175" i="2"/>
  <c r="A173" i="2"/>
  <c r="A164" i="2" l="1"/>
  <c r="A163" i="2"/>
  <c r="A162" i="2"/>
  <c r="A138" i="2" l="1"/>
  <c r="C18" i="1" l="1"/>
  <c r="A155" i="2" s="1"/>
  <c r="A154" i="2"/>
  <c r="A153" i="2"/>
  <c r="A136" i="2"/>
  <c r="A134" i="2"/>
  <c r="A133" i="2"/>
  <c r="A132" i="2"/>
  <c r="A131" i="2"/>
  <c r="A129" i="2"/>
  <c r="A128" i="2"/>
  <c r="A127" i="2"/>
  <c r="A126" i="2"/>
  <c r="A124" i="2"/>
  <c r="A123" i="2"/>
  <c r="A122" i="2"/>
  <c r="A121" i="2"/>
  <c r="A119" i="2"/>
  <c r="A118" i="2"/>
  <c r="A117" i="2"/>
  <c r="A116" i="2"/>
  <c r="A114" i="2"/>
  <c r="A113" i="2"/>
  <c r="A112" i="2"/>
  <c r="A111" i="2"/>
  <c r="A109" i="2"/>
  <c r="A108" i="2"/>
  <c r="A107" i="2"/>
  <c r="A106" i="2"/>
  <c r="A104" i="2"/>
  <c r="A103" i="2"/>
  <c r="A102" i="2"/>
  <c r="A101" i="2"/>
  <c r="A99" i="2"/>
  <c r="A98" i="2"/>
  <c r="A97" i="2"/>
  <c r="A96" i="2"/>
  <c r="A94" i="2"/>
  <c r="A93" i="2"/>
  <c r="A92" i="2"/>
  <c r="A91" i="2"/>
  <c r="A89" i="2"/>
  <c r="A88" i="2"/>
  <c r="A87" i="2"/>
  <c r="A86" i="2"/>
  <c r="A84" i="2"/>
  <c r="A83" i="2"/>
  <c r="A82" i="2"/>
  <c r="A81" i="2"/>
  <c r="A79" i="2"/>
  <c r="A78" i="2"/>
  <c r="A77" i="2"/>
  <c r="A76" i="2"/>
  <c r="A151" i="2"/>
  <c r="A143" i="2"/>
  <c r="A142" i="2"/>
  <c r="A141" i="2"/>
  <c r="A140" i="2"/>
  <c r="A85" i="2"/>
  <c r="A90" i="2"/>
  <c r="A95" i="2"/>
  <c r="A100" i="2"/>
  <c r="A105" i="2"/>
  <c r="A110" i="2"/>
  <c r="A115" i="2"/>
  <c r="A120" i="2"/>
  <c r="A125" i="2"/>
  <c r="A130" i="2"/>
  <c r="A135" i="2"/>
  <c r="A80" i="2"/>
  <c r="A70" i="2"/>
  <c r="M22" i="1"/>
  <c r="L22" i="1"/>
  <c r="K22" i="1"/>
  <c r="J22" i="1"/>
  <c r="I22" i="1"/>
  <c r="H22" i="1"/>
  <c r="G22" i="1"/>
  <c r="F22" i="1"/>
  <c r="E22" i="1"/>
  <c r="D22" i="1"/>
  <c r="C22" i="1"/>
  <c r="B22" i="1"/>
  <c r="A71" i="2"/>
  <c r="A69" i="2"/>
  <c r="A64" i="2"/>
  <c r="A59" i="2"/>
  <c r="A58" i="2"/>
  <c r="A47" i="2"/>
  <c r="A49" i="2"/>
  <c r="A45" i="2"/>
  <c r="A41" i="2"/>
  <c r="A42" i="2"/>
  <c r="A40" i="2"/>
  <c r="A38" i="2"/>
  <c r="A37" i="2"/>
  <c r="A36" i="2"/>
  <c r="A34" i="2"/>
  <c r="A35" i="2"/>
  <c r="A33" i="2"/>
  <c r="A20" i="2"/>
  <c r="A18" i="2"/>
  <c r="A16" i="2"/>
  <c r="A15" i="2"/>
  <c r="A14" i="2"/>
  <c r="A8" i="2"/>
  <c r="A7" i="2"/>
  <c r="A6" i="2"/>
  <c r="A32" i="2" l="1"/>
  <c r="A57" i="2"/>
  <c r="A55" i="2"/>
  <c r="A56" i="2"/>
</calcChain>
</file>

<file path=xl/sharedStrings.xml><?xml version="1.0" encoding="utf-8"?>
<sst xmlns="http://schemas.openxmlformats.org/spreadsheetml/2006/main" count="298" uniqueCount="109">
  <si>
    <t>CREATED BY</t>
  </si>
  <si>
    <t>CRISTOPHER POLANCO</t>
  </si>
  <si>
    <t>SITE CODE</t>
  </si>
  <si>
    <t>SITE NAME</t>
  </si>
  <si>
    <t>BSC</t>
  </si>
  <si>
    <t>CELL 1</t>
  </si>
  <si>
    <t>CELL 2</t>
  </si>
  <si>
    <t>CELL 3</t>
  </si>
  <si>
    <t>Data Transcript Generated</t>
  </si>
  <si>
    <t>@COMMENT +------------------------------------------------+ ##</t>
  </si>
  <si>
    <t>@COMMENT | DATE:  {DDMMYYYY}                 TIME:  {HMM} | ##</t>
  </si>
  <si>
    <t>@COMMENT |------------------------------------------------| ##</t>
  </si>
  <si>
    <t>@COMMENT |               PRINTOUT BORRADO 2G              | ##</t>
  </si>
  <si>
    <t>@COMMENT |                    ALARMS                      | ##</t>
  </si>
  <si>
    <t>ALLIP;</t>
  </si>
  <si>
    <t>ALLIP:ALCAT=EXT,ACL=A1;</t>
  </si>
  <si>
    <t>@COMMENT |             HALTED OF CELLS IN TG              | ##</t>
  </si>
  <si>
    <t xml:space="preserve">ARIEL FUENTES   </t>
  </si>
  <si>
    <t xml:space="preserve">ANDRES SANCHEZ  </t>
  </si>
  <si>
    <t>RONALD GILCHRIST</t>
  </si>
  <si>
    <t xml:space="preserve">FERNANDO ALDAO  </t>
  </si>
  <si>
    <t>DAVID MONTERO</t>
  </si>
  <si>
    <t>RLVLE:CHTYPE=TCH;</t>
  </si>
  <si>
    <t>RLVLE:CHTYPE=SDCCH;</t>
  </si>
  <si>
    <t>RLVLI:CHTYPE=TCH;</t>
  </si>
  <si>
    <t>RLVLI:CHTYPE=SDCCH;</t>
  </si>
  <si>
    <t>RLVLP;</t>
  </si>
  <si>
    <t>TG-1</t>
  </si>
  <si>
    <t>@COMMENT |        TG TO CHANNEL GROUP DISCONNECTION       | ##</t>
  </si>
  <si>
    <t>RBS 1</t>
  </si>
  <si>
    <t>DELETE</t>
  </si>
  <si>
    <t>@COMMENT |  DESDEFINITION OF EQUIPMENT FOR BTS SITE       | ##</t>
  </si>
  <si>
    <t>PSTU</t>
  </si>
  <si>
    <t>CELDA ADYACENTE</t>
  </si>
  <si>
    <t>@COMMENT |        DESDEFINITION OF CELL PARAMETERS        | ##</t>
  </si>
  <si>
    <t>CACLP;</t>
  </si>
  <si>
    <t>exit;</t>
  </si>
  <si>
    <t>CELDA EN MSC</t>
  </si>
  <si>
    <t>CELDA</t>
  </si>
  <si>
    <t>ZONE CODE</t>
  </si>
  <si>
    <t>LOCNO</t>
  </si>
  <si>
    <t>eaw NE=SAMBC01,CSL=1;</t>
  </si>
  <si>
    <t>@T 2</t>
  </si>
  <si>
    <t>@COMMENT |    DEFINITION OF CELL NAME IN MSC: SAMBC01     | ##</t>
  </si>
  <si>
    <t>eaw VAMSS01;</t>
  </si>
  <si>
    <t>@COMMENT |    DEFINITION OF CELL NAME IN MSC: VAMSS01     | ##</t>
  </si>
  <si>
    <t>eaw ANMS01;</t>
  </si>
  <si>
    <t>@COMMENT |    DEFINITION OF CELL NAME IN MSC: ANMS01      | ##</t>
  </si>
  <si>
    <t>eaw SAMS01;</t>
  </si>
  <si>
    <t>@COMMENT |    DEFINITION OF CELL NAME IN MSC: SAMS01      | ##</t>
  </si>
  <si>
    <t>eaw SAMSS02;</t>
  </si>
  <si>
    <t>@COMMENT |    DEFINITION OF CELL NAME IN MSC: SAMSS02     | ##</t>
  </si>
  <si>
    <t>eaw SAMSS03;</t>
  </si>
  <si>
    <t>@COMMENT |    DEFINITION OF CELL NAME IN MSC: SAMSS03     | ##</t>
  </si>
  <si>
    <t>eaw RAMSS01;</t>
  </si>
  <si>
    <t>@COMMENT |    DEFINITION OF CELL NAME IN MSC: RAMSS01     | ##</t>
  </si>
  <si>
    <t>eaw COMSS01;</t>
  </si>
  <si>
    <t>@COMMENT |    DEFINITION OF CELL NAME IN MSC: COMSS01     | ##</t>
  </si>
  <si>
    <t>eaw NE=CHMBC01,CSL=1;</t>
  </si>
  <si>
    <t>@COMMENT |    DEFINITION OF CELL NAME IN MSC: CHMBC01     | ##</t>
  </si>
  <si>
    <t>eaw PMMSS01;</t>
  </si>
  <si>
    <t>@COMMENT |    DEFINITION OF CELL NAME IN MSC: PMMSS01     | ##</t>
  </si>
  <si>
    <t>RLSTP:CELL=ALL,STATE=HALTED;</t>
  </si>
  <si>
    <t>@GETTIME {HMM} HH:MM</t>
  </si>
  <si>
    <t>@GETDATE {DDMMYYYY} DD-MM-YYYY</t>
  </si>
  <si>
    <t>@L-</t>
  </si>
  <si>
    <t>CELL 4</t>
  </si>
  <si>
    <t>CELL 5</t>
  </si>
  <si>
    <t>CELL 6</t>
  </si>
  <si>
    <t>CELL 7</t>
  </si>
  <si>
    <t>CELL 8</t>
  </si>
  <si>
    <t>CELL 9</t>
  </si>
  <si>
    <t>CELL 10</t>
  </si>
  <si>
    <t>CELL 11</t>
  </si>
  <si>
    <t>CELL 12</t>
  </si>
  <si>
    <t>RNC</t>
  </si>
  <si>
    <t xml:space="preserve">@COMMENT +------------------------------------------------+ </t>
  </si>
  <si>
    <t>@COMMENT | DATE: {DDMMYYYY}               TIME: {HMM}     |</t>
  </si>
  <si>
    <t>@COMMENT +------------------------------------------------+</t>
  </si>
  <si>
    <t xml:space="preserve">@COMMENT |     DEFINITION OF UTRAN NEIGHBOURING CELLS     | </t>
  </si>
  <si>
    <t>IUB EN RNC</t>
  </si>
  <si>
    <t>UMFI ADYACENTE</t>
  </si>
  <si>
    <t xml:space="preserve">@COMMENT +------------------------------------------------+ ## </t>
  </si>
  <si>
    <t>lt all</t>
  </si>
  <si>
    <t>u+</t>
  </si>
  <si>
    <t>y</t>
  </si>
  <si>
    <t>u-</t>
  </si>
  <si>
    <t>q</t>
  </si>
  <si>
    <t>Francisco Bulnes Correa</t>
  </si>
  <si>
    <t>U55904</t>
  </si>
  <si>
    <t>U55907</t>
  </si>
  <si>
    <t>U55902</t>
  </si>
  <si>
    <t>U55905</t>
  </si>
  <si>
    <t>U55908</t>
  </si>
  <si>
    <t>U55903</t>
  </si>
  <si>
    <t>U55906</t>
  </si>
  <si>
    <t>U55909</t>
  </si>
  <si>
    <t>BORRADO</t>
  </si>
  <si>
    <t>STN_</t>
  </si>
  <si>
    <t>TDM_</t>
  </si>
  <si>
    <t>BI926</t>
  </si>
  <si>
    <t>TAB01</t>
  </si>
  <si>
    <t>39264</t>
  </si>
  <si>
    <t>39265</t>
  </si>
  <si>
    <t>39266</t>
  </si>
  <si>
    <t>UHL223</t>
  </si>
  <si>
    <t>LSB03</t>
  </si>
  <si>
    <t>TEER01</t>
  </si>
  <si>
    <t>U49244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</si>
</sst>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1"/>
      <name val="Courier New"/>
      <family val="3"/>
    </font>
    <font>
      <b/>
      <sz val="8"/>
      <color rgb="FFE1421D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8"/>
      <color theme="0" tint="-4.9989318521683403E-2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11"/>
      <color rgb="FFE1421D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8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E1421D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medium">
        <color rgb="FFE1421D"/>
      </left>
      <right style="medium">
        <color rgb="FFE1421D"/>
      </right>
      <top style="medium">
        <color rgb="FFE1421D"/>
      </top>
      <bottom style="medium">
        <color rgb="FFE1421D"/>
      </bottom>
      <diagonal/>
    </border>
    <border>
      <left style="medium">
        <color rgb="FFE1421D"/>
      </left>
      <right/>
      <top style="medium">
        <color rgb="FFE1421D"/>
      </top>
      <bottom style="medium">
        <color rgb="FFE1421D"/>
      </bottom>
      <diagonal/>
    </border>
    <border>
      <left/>
      <right/>
      <top style="medium">
        <color rgb="FFE1421D"/>
      </top>
      <bottom style="medium">
        <color rgb="FFE1421D"/>
      </bottom>
      <diagonal/>
    </border>
    <border>
      <left/>
      <right style="medium">
        <color rgb="FFE1421D"/>
      </right>
      <top style="medium">
        <color rgb="FFE1421D"/>
      </top>
      <bottom style="medium">
        <color rgb="FFE1421D"/>
      </bottom>
      <diagonal/>
    </border>
    <border>
      <left/>
      <right style="thin">
        <color theme="0"/>
      </right>
      <top/>
      <bottom/>
      <diagonal/>
    </border>
    <border>
      <left style="medium">
        <color rgb="FFE1421D"/>
      </left>
      <right style="medium">
        <color rgb="FFE1421D"/>
      </right>
      <top style="medium">
        <color rgb="FFE1421D"/>
      </top>
      <bottom/>
      <diagonal/>
    </border>
    <border>
      <left/>
      <right style="medium">
        <color rgb="FFE1421D"/>
      </right>
      <top style="medium">
        <color rgb="FFE1421D"/>
      </top>
      <bottom/>
      <diagonal/>
    </border>
    <border>
      <left/>
      <right style="medium">
        <color rgb="FFE1421D"/>
      </right>
      <top/>
      <bottom/>
      <diagonal/>
    </border>
    <border>
      <left/>
      <right/>
      <top/>
      <bottom style="medium">
        <color rgb="FFE1421D"/>
      </bottom>
      <diagonal/>
    </border>
    <border>
      <left style="medium">
        <color rgb="FFE1421D"/>
      </left>
      <right style="medium">
        <color rgb="FFE1421D"/>
      </right>
      <top/>
      <bottom/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Protection="1">
      <protection hidden="1"/>
    </xf>
    <xf numFmtId="0" fontId="3" fillId="3" borderId="0" xfId="0" applyFont="1" applyFill="1" applyProtection="1">
      <protection hidden="1"/>
    </xf>
    <xf numFmtId="0" fontId="4" fillId="0" borderId="0" xfId="0" applyFont="1"/>
    <xf numFmtId="0" fontId="0" fillId="3" borderId="0" xfId="0" applyFill="1"/>
    <xf numFmtId="0" fontId="1" fillId="3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0" fontId="7" fillId="3" borderId="0" xfId="0" applyFont="1" applyFill="1" applyAlignment="1" applyProtection="1">
      <alignment horizontal="center" vertical="center"/>
      <protection hidden="1"/>
    </xf>
    <xf numFmtId="0" fontId="2" fillId="3" borderId="0" xfId="0" applyFont="1" applyFill="1" applyAlignment="1" applyProtection="1">
      <alignment horizontal="center"/>
      <protection hidden="1"/>
    </xf>
    <xf numFmtId="0" fontId="6" fillId="2" borderId="1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horizontal="center" vertical="center"/>
      <protection hidden="1"/>
    </xf>
    <xf numFmtId="0" fontId="7" fillId="3" borderId="0" xfId="0" applyFont="1" applyFill="1" applyAlignment="1" applyProtection="1">
      <alignment horizontal="center"/>
      <protection hidden="1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3" borderId="7" xfId="0" applyFont="1" applyFill="1" applyBorder="1" applyAlignment="1">
      <alignment vertical="center"/>
    </xf>
    <xf numFmtId="0" fontId="5" fillId="2" borderId="1" xfId="0" applyFont="1" applyFill="1" applyBorder="1" applyAlignment="1">
      <alignment vertical="center"/>
    </xf>
    <xf numFmtId="0" fontId="5" fillId="3" borderId="8" xfId="0" applyFont="1" applyFill="1" applyBorder="1" applyAlignment="1">
      <alignment vertical="center"/>
    </xf>
    <xf numFmtId="0" fontId="6" fillId="2" borderId="3" xfId="0" applyFont="1" applyFill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 applyProtection="1">
      <alignment horizontal="center" vertical="center"/>
      <protection locked="0"/>
    </xf>
    <xf numFmtId="0" fontId="6" fillId="2" borderId="2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vertical="center"/>
    </xf>
    <xf numFmtId="0" fontId="0" fillId="3" borderId="9" xfId="0" applyFill="1" applyBorder="1"/>
    <xf numFmtId="0" fontId="0" fillId="0" borderId="10" xfId="0" applyBorder="1"/>
    <xf numFmtId="0" fontId="5" fillId="3" borderId="10" xfId="0" applyFont="1" applyFill="1" applyBorder="1" applyAlignment="1">
      <alignment vertical="center"/>
    </xf>
    <xf numFmtId="164" fontId="6" fillId="2" borderId="4" xfId="0" applyNumberFormat="1" applyFont="1" applyFill="1" applyBorder="1" applyAlignment="1" applyProtection="1">
      <alignment horizontal="center" vertical="center"/>
      <protection locked="0"/>
    </xf>
    <xf numFmtId="0" fontId="10" fillId="3" borderId="0" xfId="0" applyFont="1" applyFill="1"/>
    <xf numFmtId="0" fontId="11" fillId="3" borderId="0" xfId="0" applyFont="1" applyFill="1" applyAlignment="1" applyProtection="1">
      <alignment horizontal="center"/>
      <protection hidden="1"/>
    </xf>
    <xf numFmtId="0" fontId="8" fillId="3" borderId="0" xfId="0" applyFont="1" applyFill="1" applyAlignment="1" applyProtection="1">
      <alignment horizontal="center"/>
      <protection hidden="1"/>
    </xf>
    <xf numFmtId="0" fontId="12" fillId="3" borderId="0" xfId="0" applyFont="1" applyFill="1"/>
    <xf numFmtId="0" fontId="13" fillId="0" borderId="0" xfId="0" applyFont="1"/>
    <xf numFmtId="49" fontId="6" fillId="2" borderId="1" xfId="0" applyNumberFormat="1" applyFont="1" applyFill="1" applyBorder="1" applyAlignment="1" applyProtection="1">
      <alignment horizontal="center" vertical="center"/>
      <protection locked="0"/>
    </xf>
    <xf numFmtId="0" fontId="15" fillId="3" borderId="0" xfId="0" applyFont="1" applyFill="1"/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Protection="1"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3" borderId="5" xfId="0" applyFont="1" applyFill="1" applyBorder="1" applyAlignment="1" applyProtection="1">
      <alignment horizontal="center"/>
      <protection hidden="1"/>
    </xf>
    <xf numFmtId="0" fontId="14" fillId="3" borderId="5" xfId="0" applyFont="1" applyFill="1" applyBorder="1" applyAlignment="1" applyProtection="1">
      <alignment horizontal="center" vertical="center"/>
      <protection hidden="1"/>
    </xf>
    <xf numFmtId="0" fontId="14" fillId="0" borderId="1" xfId="0" applyFont="1" applyBorder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hidden="1"/>
    </xf>
    <xf numFmtId="0" fontId="15" fillId="5" borderId="0" xfId="0" applyFont="1" applyFill="1"/>
    <xf numFmtId="0" fontId="0" fillId="5" borderId="0" xfId="0" applyFill="1"/>
    <xf numFmtId="0" fontId="1" fillId="5" borderId="0" xfId="0" applyFont="1" applyFill="1"/>
    <xf numFmtId="0" fontId="6" fillId="2" borderId="2" xfId="0" applyFont="1" applyFill="1" applyBorder="1" applyAlignment="1" applyProtection="1">
      <alignment horizontal="center" vertical="center"/>
      <protection locked="0"/>
    </xf>
    <xf numFmtId="0" fontId="6" fillId="2" borderId="4" xfId="0" applyFont="1" applyFill="1" applyBorder="1" applyAlignment="1" applyProtection="1">
      <alignment horizontal="center" vertical="center"/>
      <protection locked="0"/>
    </xf>
    <xf numFmtId="0" fontId="5" fillId="3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 textRotation="90"/>
    </xf>
    <xf numFmtId="0" fontId="5" fillId="3" borderId="2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0" fontId="8" fillId="4" borderId="3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14" fillId="2" borderId="2" xfId="0" applyFont="1" applyFill="1" applyBorder="1" applyAlignment="1" applyProtection="1">
      <alignment horizontal="center" vertical="center"/>
      <protection locked="0"/>
    </xf>
    <xf numFmtId="0" fontId="14" fillId="2" borderId="3" xfId="0" applyFont="1" applyFill="1" applyBorder="1" applyAlignment="1" applyProtection="1">
      <alignment horizontal="center" vertical="center"/>
      <protection locked="0"/>
    </xf>
    <xf numFmtId="0" fontId="14" fillId="2" borderId="4" xfId="0" applyFont="1" applyFill="1" applyBorder="1" applyAlignment="1" applyProtection="1">
      <alignment horizontal="center" vertical="center"/>
      <protection locked="0"/>
    </xf>
    <xf numFmtId="0" fontId="5" fillId="3" borderId="6" xfId="0" applyFont="1" applyFill="1" applyBorder="1" applyAlignment="1">
      <alignment horizontal="center" vertical="center"/>
    </xf>
    <xf numFmtId="0" fontId="6" fillId="2" borderId="3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704850</xdr:colOff>
      <xdr:row>3</xdr:row>
      <xdr:rowOff>152400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9418544" cy="690282"/>
        </a:xfrm>
        <a:prstGeom prst="rect">
          <a:avLst/>
        </a:prstGeom>
        <a:noFill/>
        <a:ln>
          <a:solidFill>
            <a:srgbClr val="E1422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C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L" sz="2000" b="0">
              <a:ln>
                <a:solidFill>
                  <a:srgbClr val="E1421D"/>
                </a:solidFill>
              </a:ln>
              <a:solidFill>
                <a:srgbClr val="E1421D"/>
              </a:solidFill>
              <a:latin typeface="Helvetica" panose="020B0604020202020204" pitchFamily="34" charset="0"/>
              <a:cs typeface="Helvetica" panose="020B0604020202020204" pitchFamily="34" charset="0"/>
            </a:rPr>
            <a:t>BORRADO DE SITIOS</a:t>
          </a:r>
        </a:p>
      </xdr:txBody>
    </xdr:sp>
    <xdr:clientData/>
  </xdr:twoCellAnchor>
  <xdr:twoCellAnchor editAs="oneCell">
    <xdr:from>
      <xdr:col>10</xdr:col>
      <xdr:colOff>9525</xdr:colOff>
      <xdr:row>0</xdr:row>
      <xdr:rowOff>0</xdr:rowOff>
    </xdr:from>
    <xdr:to>
      <xdr:col>11</xdr:col>
      <xdr:colOff>590550</xdr:colOff>
      <xdr:row>3</xdr:row>
      <xdr:rowOff>134819</xdr:rowOff>
    </xdr:to>
    <xdr:pic macro="[0]!Borrado"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553" t="19875" r="14080" b="18694"/>
        <a:stretch/>
      </xdr:blipFill>
      <xdr:spPr>
        <a:xfrm>
          <a:off x="7629525" y="0"/>
          <a:ext cx="1343025" cy="706319"/>
        </a:xfrm>
        <a:prstGeom prst="rect">
          <a:avLst/>
        </a:prstGeom>
      </xdr:spPr>
    </xdr:pic>
    <xdr:clientData/>
  </xdr:twoCellAnchor>
  <xdr:twoCellAnchor>
    <xdr:from>
      <xdr:col>0</xdr:col>
      <xdr:colOff>171452</xdr:colOff>
      <xdr:row>19</xdr:row>
      <xdr:rowOff>19877</xdr:rowOff>
    </xdr:from>
    <xdr:to>
      <xdr:col>13</xdr:col>
      <xdr:colOff>171450</xdr:colOff>
      <xdr:row>28</xdr:row>
      <xdr:rowOff>152400</xdr:rowOff>
    </xdr:to>
    <xdr:sp macro="" textlink="">
      <xdr:nvSpPr>
        <xdr:cNvPr id="5" name="Rectángul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71452" y="4372802"/>
          <a:ext cx="9905998" cy="2475673"/>
        </a:xfrm>
        <a:prstGeom prst="rect">
          <a:avLst/>
        </a:prstGeom>
        <a:noFill/>
        <a:ln>
          <a:solidFill>
            <a:srgbClr val="E1422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C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CL" sz="2000" b="0">
            <a:ln>
              <a:solidFill>
                <a:srgbClr val="E1421D"/>
              </a:solidFill>
            </a:ln>
            <a:solidFill>
              <a:srgbClr val="E1421D"/>
            </a:solidFill>
            <a:latin typeface="Helvetica" panose="020B0604020202020204" pitchFamily="34" charset="0"/>
            <a:cs typeface="Helvetica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704850</xdr:colOff>
      <xdr:row>3</xdr:row>
      <xdr:rowOff>152400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0"/>
          <a:ext cx="9124950" cy="723900"/>
        </a:xfrm>
        <a:prstGeom prst="rect">
          <a:avLst/>
        </a:prstGeom>
        <a:noFill/>
        <a:ln>
          <a:solidFill>
            <a:srgbClr val="E1422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>
          <a:defPPr>
            <a:defRPr lang="es-CL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s-CL" sz="2000" b="0">
              <a:ln>
                <a:solidFill>
                  <a:srgbClr val="E1421D"/>
                </a:solidFill>
              </a:ln>
              <a:solidFill>
                <a:srgbClr val="E1421D"/>
              </a:solidFill>
              <a:latin typeface="Helvetica" panose="020B0604020202020204" pitchFamily="34" charset="0"/>
              <a:cs typeface="Helvetica" panose="020B0604020202020204" pitchFamily="34" charset="0"/>
            </a:rPr>
            <a:t>BORRADO SITIO</a:t>
          </a:r>
          <a:r>
            <a:rPr lang="es-CL" sz="2000" b="0" baseline="0">
              <a:ln>
                <a:solidFill>
                  <a:srgbClr val="E1421D"/>
                </a:solidFill>
              </a:ln>
              <a:solidFill>
                <a:srgbClr val="E1421D"/>
              </a:solidFill>
              <a:latin typeface="Helvetica" panose="020B0604020202020204" pitchFamily="34" charset="0"/>
              <a:cs typeface="Helvetica" panose="020B0604020202020204" pitchFamily="34" charset="0"/>
            </a:rPr>
            <a:t> 3G</a:t>
          </a:r>
          <a:endParaRPr lang="es-CL" sz="2000" b="0">
            <a:ln>
              <a:solidFill>
                <a:srgbClr val="E1421D"/>
              </a:solidFill>
            </a:ln>
            <a:solidFill>
              <a:srgbClr val="E1421D"/>
            </a:solidFill>
            <a:latin typeface="Helvetica" panose="020B0604020202020204" pitchFamily="34" charset="0"/>
            <a:cs typeface="Helvetica" panose="020B0604020202020204" pitchFamily="34" charset="0"/>
          </a:endParaRPr>
        </a:p>
      </xdr:txBody>
    </xdr:sp>
    <xdr:clientData/>
  </xdr:twoCellAnchor>
  <xdr:twoCellAnchor editAs="oneCell">
    <xdr:from>
      <xdr:col>10</xdr:col>
      <xdr:colOff>9525</xdr:colOff>
      <xdr:row>0</xdr:row>
      <xdr:rowOff>0</xdr:rowOff>
    </xdr:from>
    <xdr:to>
      <xdr:col>11</xdr:col>
      <xdr:colOff>590550</xdr:colOff>
      <xdr:row>3</xdr:row>
      <xdr:rowOff>134819</xdr:rowOff>
    </xdr:to>
    <xdr:pic macro="[0]!EXPORTAR3G">
      <xdr:nvPicPr>
        <xdr:cNvPr id="3" name="Imagen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553" t="19875" r="14080" b="18694"/>
        <a:stretch/>
      </xdr:blipFill>
      <xdr:spPr>
        <a:xfrm>
          <a:off x="7667625" y="0"/>
          <a:ext cx="1343025" cy="7063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XFD29"/>
  <sheetViews>
    <sheetView zoomScale="85" zoomScaleNormal="85" workbookViewId="0">
      <selection activeCell="L28" sqref="L28"/>
    </sheetView>
  </sheetViews>
  <sheetFormatPr baseColWidth="10" defaultColWidth="11.42578125" defaultRowHeight="15" x14ac:dyDescent="0.25"/>
  <cols>
    <col min="1" max="2" width="11.42578125" style="5"/>
    <col min="3" max="3" width="12" style="5" bestFit="1" customWidth="1"/>
    <col min="4" max="4" width="11.42578125" style="5" customWidth="1"/>
    <col min="5" max="5" width="11.42578125" style="5"/>
    <col min="6" max="6" width="11.42578125" style="5" customWidth="1"/>
    <col min="7" max="12" width="11.42578125" style="5"/>
    <col min="13" max="13" width="11.42578125" style="5" customWidth="1"/>
    <col min="14" max="14" width="39.85546875" style="27" customWidth="1"/>
    <col min="15" max="15" width="36.85546875" style="27" customWidth="1"/>
    <col min="16" max="16" width="32.85546875" style="27" customWidth="1"/>
    <col min="17" max="17" width="11.7109375" style="27" customWidth="1"/>
    <col min="18" max="18" width="2" style="6" customWidth="1"/>
    <col min="19" max="19" width="7.140625" style="33" customWidth="1"/>
    <col min="20" max="20" width="4.42578125" style="33" customWidth="1"/>
    <col min="21" max="26" width="11.42578125" style="33" customWidth="1"/>
    <col min="27" max="38" width="11.42578125" style="5" customWidth="1"/>
    <col min="39" max="16384" width="11.42578125" style="5"/>
  </cols>
  <sheetData>
    <row r="1" spans="1:42" x14ac:dyDescent="0.25">
      <c r="R1" s="6">
        <v>0</v>
      </c>
      <c r="S1" s="33" t="s">
        <v>30</v>
      </c>
      <c r="T1" s="33" t="s">
        <v>99</v>
      </c>
    </row>
    <row r="2" spans="1:42" x14ac:dyDescent="0.25">
      <c r="R2" s="6">
        <v>1</v>
      </c>
      <c r="T2" s="33" t="s">
        <v>98</v>
      </c>
    </row>
    <row r="4" spans="1:42" ht="15.75" thickBot="1" x14ac:dyDescent="0.3"/>
    <row r="5" spans="1:42" ht="15.75" thickBot="1" x14ac:dyDescent="0.3">
      <c r="A5" s="46" t="s">
        <v>0</v>
      </c>
      <c r="B5" s="46"/>
      <c r="C5" s="53" t="s">
        <v>17</v>
      </c>
      <c r="D5" s="54"/>
      <c r="E5" s="54"/>
      <c r="F5" s="54"/>
      <c r="G5" s="54"/>
      <c r="H5" s="55"/>
      <c r="I5" s="33"/>
      <c r="J5" s="33"/>
      <c r="K5" s="33"/>
      <c r="L5" s="33"/>
      <c r="M5" s="33"/>
      <c r="N5" s="33"/>
      <c r="O5" s="33"/>
      <c r="P5" s="33"/>
      <c r="Q5" s="33"/>
      <c r="R5" s="33"/>
      <c r="AA5" s="33"/>
      <c r="AB5" s="33"/>
      <c r="AC5" s="33"/>
      <c r="AD5" s="33"/>
      <c r="AE5" s="33"/>
      <c r="AF5" s="33"/>
      <c r="AG5" s="33"/>
      <c r="AH5" s="33"/>
      <c r="AI5" s="33"/>
      <c r="AJ5" s="33"/>
      <c r="AK5" s="33"/>
      <c r="AL5" s="33"/>
      <c r="AM5" s="33"/>
      <c r="AN5" s="33"/>
      <c r="AO5" s="33"/>
      <c r="AP5" s="33"/>
    </row>
    <row r="6" spans="1:42" ht="15.75" thickBot="1" x14ac:dyDescent="0.3">
      <c r="A6" s="9"/>
      <c r="B6" s="9"/>
      <c r="C6" s="34"/>
      <c r="D6" s="34"/>
      <c r="E6" s="34"/>
      <c r="F6" s="34"/>
      <c r="G6" s="34"/>
      <c r="H6" s="34"/>
      <c r="I6" s="33"/>
      <c r="J6" s="33"/>
      <c r="K6" s="33"/>
      <c r="L6" s="33"/>
      <c r="M6" s="33"/>
      <c r="N6" s="33"/>
      <c r="O6" s="33"/>
      <c r="P6" s="33"/>
      <c r="Q6" s="33"/>
      <c r="R6" s="33"/>
      <c r="AA6" s="33"/>
      <c r="AB6" s="33"/>
      <c r="AC6" s="33"/>
      <c r="AD6" s="33"/>
      <c r="AE6" s="33"/>
      <c r="AF6" s="33"/>
      <c r="AG6" s="33"/>
      <c r="AH6" s="33"/>
      <c r="AI6" s="33"/>
      <c r="AJ6" s="33"/>
      <c r="AK6" s="33"/>
      <c r="AL6" s="33"/>
      <c r="AM6" s="33"/>
      <c r="AN6" s="33"/>
      <c r="AO6" s="33"/>
      <c r="AP6" s="33"/>
    </row>
    <row r="7" spans="1:42" ht="15.75" thickBot="1" x14ac:dyDescent="0.3">
      <c r="A7" s="46" t="s">
        <v>2</v>
      </c>
      <c r="B7" s="46"/>
      <c r="C7" s="53" t="s">
        <v>100</v>
      </c>
      <c r="D7" s="54"/>
      <c r="E7" s="54"/>
      <c r="F7" s="54"/>
      <c r="G7" s="54"/>
      <c r="H7" s="55"/>
      <c r="I7" s="41"/>
      <c r="J7" s="33"/>
      <c r="K7" s="33"/>
      <c r="L7" s="33"/>
      <c r="M7" s="33"/>
      <c r="N7" s="33"/>
      <c r="O7" s="33"/>
      <c r="P7" s="33"/>
      <c r="Q7" s="33"/>
      <c r="R7" s="33"/>
      <c r="AA7" s="33"/>
      <c r="AB7" s="33"/>
      <c r="AC7" s="33"/>
      <c r="AD7" s="33"/>
      <c r="AE7" s="33"/>
      <c r="AF7" s="33"/>
      <c r="AG7" s="33"/>
      <c r="AH7" s="33"/>
      <c r="AI7" s="33"/>
      <c r="AJ7" s="33"/>
      <c r="AK7" s="33"/>
      <c r="AL7" s="33"/>
      <c r="AM7" s="33"/>
      <c r="AN7" s="33"/>
      <c r="AO7" s="33"/>
      <c r="AP7" s="33"/>
    </row>
    <row r="8" spans="1:42" ht="15.75" thickBot="1" x14ac:dyDescent="0.3">
      <c r="A8" s="2"/>
      <c r="B8" s="2"/>
      <c r="C8" s="35"/>
      <c r="D8" s="35"/>
      <c r="E8" s="35"/>
      <c r="F8" s="35"/>
      <c r="G8" s="36"/>
      <c r="H8" s="36"/>
      <c r="I8" s="33"/>
      <c r="J8" s="33"/>
      <c r="K8" s="33"/>
      <c r="L8" s="33"/>
      <c r="M8" s="33"/>
      <c r="N8" s="33"/>
      <c r="O8" s="33"/>
      <c r="P8" s="33"/>
      <c r="Q8" s="33"/>
      <c r="R8" s="33"/>
      <c r="AA8" s="33"/>
      <c r="AB8" s="33"/>
      <c r="AC8" s="33"/>
      <c r="AD8" s="33"/>
      <c r="AE8" s="33"/>
      <c r="AF8" s="33"/>
      <c r="AG8" s="33"/>
      <c r="AH8" s="33"/>
      <c r="AI8" s="33"/>
      <c r="AJ8" s="33"/>
      <c r="AK8" s="33"/>
      <c r="AL8" s="33"/>
      <c r="AM8" s="33"/>
      <c r="AN8" s="33"/>
      <c r="AO8" s="33"/>
      <c r="AP8" s="33"/>
    </row>
    <row r="9" spans="1:42" ht="15.75" thickBot="1" x14ac:dyDescent="0.3">
      <c r="A9" s="46" t="s">
        <v>3</v>
      </c>
      <c r="B9" s="46"/>
      <c r="C9" s="53" t="s">
        <v>97</v>
      </c>
      <c r="D9" s="54"/>
      <c r="E9" s="54"/>
      <c r="F9" s="54"/>
      <c r="G9" s="54"/>
      <c r="H9" s="55"/>
      <c r="I9" s="33" t="str">
        <f>SUBSTITUTE(C9," ","_")</f>
        <v>BORRADO</v>
      </c>
      <c r="J9" s="33"/>
      <c r="K9" s="33"/>
      <c r="L9" s="33"/>
      <c r="M9" s="33"/>
      <c r="N9" s="33"/>
      <c r="O9" s="33"/>
      <c r="P9" s="33"/>
      <c r="Q9" s="33"/>
      <c r="R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</row>
    <row r="10" spans="1:42" ht="15.75" thickBot="1" x14ac:dyDescent="0.3">
      <c r="A10" s="2"/>
      <c r="B10" s="2"/>
      <c r="C10" s="3"/>
      <c r="D10" s="3"/>
      <c r="E10" s="3"/>
      <c r="F10" s="2"/>
      <c r="G10" s="10"/>
      <c r="H10" s="10"/>
    </row>
    <row r="11" spans="1:42" ht="15.75" thickBot="1" x14ac:dyDescent="0.3">
      <c r="A11" s="46" t="s">
        <v>4</v>
      </c>
      <c r="B11" s="46"/>
      <c r="C11" s="11" t="s">
        <v>101</v>
      </c>
      <c r="D11" s="40"/>
      <c r="E11" s="13"/>
      <c r="F11" s="2"/>
      <c r="G11" s="44" t="s">
        <v>37</v>
      </c>
      <c r="H11" s="45"/>
      <c r="I11" s="11" t="s">
        <v>38</v>
      </c>
      <c r="J11" s="18" t="s">
        <v>39</v>
      </c>
      <c r="K11" s="44" t="s">
        <v>40</v>
      </c>
      <c r="L11" s="45"/>
    </row>
    <row r="12" spans="1:42" ht="15.75" thickBot="1" x14ac:dyDescent="0.3">
      <c r="C12" s="6"/>
      <c r="G12" s="46" t="s">
        <v>5</v>
      </c>
      <c r="H12" s="46"/>
      <c r="I12" s="32"/>
      <c r="J12" s="26"/>
      <c r="K12" s="44"/>
      <c r="L12" s="45"/>
    </row>
    <row r="13" spans="1:42" ht="15.75" thickBot="1" x14ac:dyDescent="0.3">
      <c r="A13" s="46" t="s">
        <v>5</v>
      </c>
      <c r="B13" s="46"/>
      <c r="C13" s="32" t="s">
        <v>102</v>
      </c>
      <c r="D13" s="42"/>
      <c r="G13" s="46" t="s">
        <v>6</v>
      </c>
      <c r="H13" s="46"/>
      <c r="I13" s="32"/>
      <c r="J13" s="26"/>
      <c r="K13" s="44"/>
      <c r="L13" s="45"/>
    </row>
    <row r="14" spans="1:42" ht="15.75" thickBot="1" x14ac:dyDescent="0.3">
      <c r="A14" s="46" t="s">
        <v>6</v>
      </c>
      <c r="B14" s="46"/>
      <c r="C14" s="32" t="s">
        <v>103</v>
      </c>
      <c r="D14" s="42"/>
      <c r="G14" s="46" t="s">
        <v>7</v>
      </c>
      <c r="H14" s="46"/>
      <c r="I14" s="11"/>
      <c r="J14" s="26"/>
      <c r="K14" s="44"/>
      <c r="L14" s="45"/>
    </row>
    <row r="15" spans="1:42" ht="15.75" thickBot="1" x14ac:dyDescent="0.3">
      <c r="A15" s="46" t="s">
        <v>7</v>
      </c>
      <c r="B15" s="46"/>
      <c r="C15" s="32" t="s">
        <v>104</v>
      </c>
      <c r="D15" s="42"/>
    </row>
    <row r="16" spans="1:42" ht="15.75" thickBot="1" x14ac:dyDescent="0.3">
      <c r="D16" s="6">
        <v>0</v>
      </c>
    </row>
    <row r="17" spans="1:64 16384:16384" ht="15.75" thickBot="1" x14ac:dyDescent="0.3">
      <c r="A17" s="48" t="s">
        <v>27</v>
      </c>
      <c r="B17" s="49"/>
      <c r="C17" s="11">
        <v>113</v>
      </c>
      <c r="D17" s="43"/>
    </row>
    <row r="18" spans="1:64 16384:16384" ht="15.75" thickBot="1" x14ac:dyDescent="0.3">
      <c r="A18" s="48" t="s">
        <v>32</v>
      </c>
      <c r="B18" s="49"/>
      <c r="C18" s="11" t="str">
        <f>CONCATENATE(D18,"",C7)</f>
        <v>TDM_BI926</v>
      </c>
      <c r="D18" s="11" t="s">
        <v>99</v>
      </c>
      <c r="E18" s="42"/>
      <c r="AA18" s="27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27"/>
      <c r="AM18" s="27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27"/>
      <c r="BK18" s="27"/>
      <c r="BL18" s="27"/>
    </row>
    <row r="19" spans="1:64 16384:16384" x14ac:dyDescent="0.25">
      <c r="S19" s="37"/>
      <c r="AA19" s="27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27"/>
      <c r="AM19" s="27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27"/>
      <c r="BK19" s="27"/>
      <c r="BL19" s="27"/>
    </row>
    <row r="20" spans="1:64 16384:16384" s="7" customFormat="1" ht="13.35" customHeight="1" thickBot="1" x14ac:dyDescent="0.3">
      <c r="A20" s="2"/>
      <c r="B20" s="2"/>
      <c r="C20" s="2"/>
      <c r="D20" s="9"/>
      <c r="E20" s="9"/>
      <c r="F20" s="2"/>
      <c r="G20" s="9"/>
      <c r="H20" s="2"/>
      <c r="I20" s="2"/>
      <c r="J20" s="2"/>
      <c r="K20" s="13"/>
      <c r="L20" s="13"/>
      <c r="M20" s="13"/>
      <c r="N20" s="28"/>
      <c r="O20" s="28"/>
      <c r="P20" s="28"/>
      <c r="Q20" s="28"/>
      <c r="R20" s="29"/>
      <c r="S20" s="37"/>
      <c r="T20" s="35"/>
      <c r="U20" s="33"/>
      <c r="V20" s="33"/>
      <c r="W20" s="33"/>
      <c r="X20" s="33"/>
      <c r="Y20" s="33"/>
      <c r="Z20" s="33"/>
      <c r="AA20" s="27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27"/>
      <c r="AM20" s="27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27"/>
      <c r="BK20" s="27"/>
      <c r="BL20" s="27"/>
      <c r="XFD20" s="2"/>
    </row>
    <row r="21" spans="1:64 16384:16384" s="7" customFormat="1" ht="13.35" customHeight="1" thickBot="1" x14ac:dyDescent="0.3">
      <c r="A21" s="5"/>
      <c r="B21" s="50" t="s">
        <v>29</v>
      </c>
      <c r="C21" s="51"/>
      <c r="D21" s="51"/>
      <c r="E21" s="51"/>
      <c r="F21" s="51"/>
      <c r="G21" s="51"/>
      <c r="H21" s="51"/>
      <c r="I21" s="51"/>
      <c r="J21" s="51"/>
      <c r="K21" s="51"/>
      <c r="L21" s="51"/>
      <c r="M21" s="52"/>
      <c r="N21" s="27"/>
      <c r="O21" s="27"/>
      <c r="P21" s="27"/>
      <c r="Q21" s="27"/>
      <c r="R21" s="6"/>
      <c r="S21" s="37"/>
      <c r="T21" s="35"/>
      <c r="U21" s="33"/>
      <c r="V21" s="33"/>
      <c r="W21" s="33"/>
      <c r="X21" s="33"/>
      <c r="Y21" s="33"/>
      <c r="Z21" s="33"/>
      <c r="AA21" s="27"/>
      <c r="AB21" s="27"/>
      <c r="AC21" s="27"/>
      <c r="AD21" s="27"/>
      <c r="AE21" s="27"/>
      <c r="AF21" s="27"/>
      <c r="AG21" s="27"/>
      <c r="AH21" s="27"/>
      <c r="AI21" s="27"/>
      <c r="AJ21" s="27"/>
      <c r="AK21" s="27"/>
      <c r="AL21" s="27"/>
      <c r="AM21" s="27"/>
      <c r="AN21" s="27"/>
      <c r="AO21" s="27"/>
      <c r="AP21" s="27"/>
      <c r="AQ21" s="27"/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XFD21" s="2"/>
    </row>
    <row r="22" spans="1:64 16384:16384" s="7" customFormat="1" ht="13.35" customHeight="1" thickBot="1" x14ac:dyDescent="0.3">
      <c r="A22" s="5"/>
      <c r="B22" s="47" t="str">
        <f>IF(C17="","TRX 0",CONCATENATE("TRX-",C17,"-0"))</f>
        <v>TRX-113-0</v>
      </c>
      <c r="C22" s="47" t="str">
        <f>IF(C17="","TRX 1",CONCATENATE("TRX-",C17,"-1"))</f>
        <v>TRX-113-1</v>
      </c>
      <c r="D22" s="47" t="str">
        <f>IF(C17="","TRX 2",CONCATENATE("TRX-",C17,"-2"))</f>
        <v>TRX-113-2</v>
      </c>
      <c r="E22" s="47" t="str">
        <f>IF(C17="","TRX 3",CONCATENATE("TRX-",C17,"-3"))</f>
        <v>TRX-113-3</v>
      </c>
      <c r="F22" s="47" t="str">
        <f>IF(C17="","TRX 4",CONCATENATE("TRX-",C17,"-4"))</f>
        <v>TRX-113-4</v>
      </c>
      <c r="G22" s="47" t="str">
        <f>IF(C17="","TRX 5",CONCATENATE("TRX-",C17,"-5"))</f>
        <v>TRX-113-5</v>
      </c>
      <c r="H22" s="47" t="str">
        <f>IF(C17="","TRX 6",CONCATENATE("TRX-",C17,"-6"))</f>
        <v>TRX-113-6</v>
      </c>
      <c r="I22" s="47" t="str">
        <f>IF(C17="","TRX 7",CONCATENATE("TRX-",C17,"-7"))</f>
        <v>TRX-113-7</v>
      </c>
      <c r="J22" s="47" t="str">
        <f>IF(C17="","TRX 8",CONCATENATE("TRX-",C17,"-8"))</f>
        <v>TRX-113-8</v>
      </c>
      <c r="K22" s="47" t="str">
        <f>IF(C17="","TRX 9",CONCATENATE("TRX-",C17,"-9"))</f>
        <v>TRX-113-9</v>
      </c>
      <c r="L22" s="47" t="str">
        <f>IF(C17="","TRX 10",CONCATENATE("TRX-",C17,"-10"))</f>
        <v>TRX-113-10</v>
      </c>
      <c r="M22" s="47" t="str">
        <f>IF(C17="","TRX 10",CONCATENATE("TRX-",C17,"-11"))</f>
        <v>TRX-113-11</v>
      </c>
      <c r="N22" s="27"/>
      <c r="O22" s="27"/>
      <c r="P22" s="27"/>
      <c r="Q22" s="27"/>
      <c r="R22" s="6"/>
      <c r="S22" s="37"/>
      <c r="T22" s="35"/>
      <c r="U22" s="33"/>
      <c r="V22" s="33"/>
      <c r="W22" s="33"/>
      <c r="X22" s="33"/>
      <c r="Y22" s="33"/>
      <c r="Z22" s="33"/>
      <c r="AA22" s="27"/>
      <c r="AB22" s="27"/>
      <c r="AC22" s="27"/>
      <c r="AD22" s="27"/>
      <c r="AE22" s="27"/>
      <c r="AF22" s="27"/>
      <c r="AG22" s="27"/>
      <c r="AH22" s="27"/>
      <c r="AI22" s="27"/>
      <c r="AJ22" s="27"/>
      <c r="AK22" s="27"/>
      <c r="AL22" s="27"/>
      <c r="AM22" s="27"/>
      <c r="AN22" s="27"/>
      <c r="AO22" s="27"/>
      <c r="AP22" s="27"/>
      <c r="AQ22" s="27"/>
      <c r="AR22" s="27"/>
      <c r="AS22" s="27"/>
      <c r="AT22" s="27"/>
      <c r="AU22" s="27"/>
      <c r="AV22" s="27"/>
      <c r="AW22" s="27"/>
      <c r="AX22" s="27"/>
      <c r="AY22" s="27"/>
      <c r="AZ22" s="27"/>
      <c r="BA22" s="27"/>
      <c r="BB22" s="27"/>
      <c r="BC22" s="27"/>
      <c r="BD22" s="27"/>
      <c r="BE22" s="27"/>
      <c r="BF22" s="27"/>
      <c r="BG22" s="27"/>
      <c r="BH22" s="27"/>
      <c r="BI22" s="27"/>
      <c r="BJ22" s="27"/>
      <c r="BK22" s="27"/>
      <c r="BL22" s="27"/>
      <c r="XFD22" s="2"/>
    </row>
    <row r="23" spans="1:64 16384:16384" s="7" customFormat="1" ht="13.35" customHeight="1" thickBot="1" x14ac:dyDescent="0.3">
      <c r="A23" s="5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27"/>
      <c r="O23" s="27"/>
      <c r="P23" s="27"/>
      <c r="Q23" s="27"/>
      <c r="R23" s="6"/>
      <c r="S23" s="37"/>
      <c r="T23" s="35"/>
      <c r="U23" s="33"/>
      <c r="V23" s="33"/>
      <c r="W23" s="33"/>
      <c r="X23" s="33"/>
      <c r="Y23" s="33"/>
      <c r="Z23" s="33"/>
      <c r="AA23" s="27"/>
      <c r="AB23" s="27"/>
      <c r="AC23" s="27"/>
      <c r="AD23" s="27"/>
      <c r="AE23" s="27"/>
      <c r="AF23" s="27"/>
      <c r="AG23" s="27"/>
      <c r="AH23" s="27"/>
      <c r="AI23" s="27"/>
      <c r="AJ23" s="27"/>
      <c r="AK23" s="27"/>
      <c r="AL23" s="27"/>
      <c r="AM23" s="27"/>
      <c r="AN23" s="27"/>
      <c r="AO23" s="27"/>
      <c r="AP23" s="27"/>
      <c r="AQ23" s="27"/>
      <c r="AR23" s="27"/>
      <c r="AS23" s="27"/>
      <c r="AT23" s="27"/>
      <c r="AU23" s="27"/>
      <c r="AV23" s="27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XFD23" s="2"/>
    </row>
    <row r="24" spans="1:64 16384:16384" s="7" customFormat="1" ht="13.35" customHeight="1" thickBot="1" x14ac:dyDescent="0.3">
      <c r="A24" s="5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27"/>
      <c r="O24" s="27"/>
      <c r="P24" s="27"/>
      <c r="Q24" s="27"/>
      <c r="R24" s="6"/>
      <c r="S24" s="37"/>
      <c r="T24" s="35"/>
      <c r="U24" s="33"/>
      <c r="V24" s="33"/>
      <c r="W24" s="33"/>
      <c r="X24" s="33"/>
      <c r="Y24" s="33"/>
      <c r="Z24" s="33"/>
      <c r="AA24" s="27"/>
      <c r="AB24" s="27"/>
      <c r="AC24" s="27"/>
      <c r="AD24" s="27"/>
      <c r="AE24" s="27"/>
      <c r="AF24" s="27"/>
      <c r="AG24" s="27"/>
      <c r="AH24" s="27"/>
      <c r="AI24" s="27"/>
      <c r="AJ24" s="27"/>
      <c r="AK24" s="27"/>
      <c r="AL24" s="27"/>
      <c r="AM24" s="27"/>
      <c r="AN24" s="27"/>
      <c r="AO24" s="27"/>
      <c r="AP24" s="27"/>
      <c r="AQ24" s="27"/>
      <c r="AR24" s="27"/>
      <c r="AS24" s="27"/>
      <c r="AT24" s="27"/>
      <c r="AU24" s="27"/>
      <c r="AV24" s="27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XFD24" s="2"/>
    </row>
    <row r="25" spans="1:64 16384:16384" s="7" customFormat="1" ht="13.35" customHeight="1" thickBot="1" x14ac:dyDescent="0.3">
      <c r="A25" s="5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27"/>
      <c r="O25" s="27"/>
      <c r="P25" s="27"/>
      <c r="Q25" s="27"/>
      <c r="R25" s="6"/>
      <c r="S25" s="37"/>
      <c r="T25" s="35"/>
      <c r="U25" s="33"/>
      <c r="V25" s="33"/>
      <c r="W25" s="33"/>
      <c r="X25" s="33"/>
      <c r="Y25" s="33"/>
      <c r="Z25" s="33"/>
      <c r="AA25" s="27"/>
      <c r="AB25" s="27"/>
      <c r="AC25" s="27"/>
      <c r="AD25" s="27"/>
      <c r="AE25" s="27"/>
      <c r="AF25" s="27"/>
      <c r="AG25" s="27"/>
      <c r="AH25" s="27"/>
      <c r="AI25" s="27"/>
      <c r="AJ25" s="27"/>
      <c r="AK25" s="27"/>
      <c r="AL25" s="27"/>
      <c r="AM25" s="27"/>
      <c r="AN25" s="27"/>
      <c r="AO25" s="27"/>
      <c r="AP25" s="27"/>
      <c r="AQ25" s="27"/>
      <c r="AR25" s="27"/>
      <c r="AS25" s="27"/>
      <c r="AT25" s="27"/>
      <c r="AU25" s="27"/>
      <c r="AV25" s="27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XFD25" s="2"/>
    </row>
    <row r="26" spans="1:64 16384:16384" s="7" customFormat="1" ht="13.35" customHeight="1" thickBot="1" x14ac:dyDescent="0.3">
      <c r="A26" s="5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27"/>
      <c r="O26" s="27"/>
      <c r="P26" s="27"/>
      <c r="Q26" s="27"/>
      <c r="R26" s="6"/>
      <c r="S26" s="38"/>
      <c r="T26" s="35"/>
      <c r="U26" s="33"/>
      <c r="V26" s="33"/>
      <c r="W26" s="33"/>
      <c r="X26" s="33"/>
      <c r="Y26" s="33"/>
      <c r="Z26" s="33"/>
      <c r="AA26" s="27"/>
      <c r="AB26" s="27"/>
      <c r="AC26" s="27"/>
      <c r="AD26" s="27"/>
      <c r="AE26" s="27"/>
      <c r="AF26" s="27"/>
      <c r="AG26" s="27"/>
      <c r="AH26" s="27"/>
      <c r="AI26" s="27"/>
      <c r="AJ26" s="27"/>
      <c r="AK26" s="27"/>
      <c r="AL26" s="27"/>
      <c r="AM26" s="27"/>
      <c r="AN26" s="27"/>
      <c r="AO26" s="27"/>
      <c r="AP26" s="27"/>
      <c r="AQ26" s="27"/>
      <c r="AR26" s="27"/>
      <c r="AS26" s="27"/>
      <c r="AT26" s="27"/>
      <c r="AU26" s="27"/>
      <c r="AV26" s="27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XFD26" s="2"/>
    </row>
    <row r="27" spans="1:64 16384:16384" s="8" customFormat="1" ht="13.35" customHeight="1" thickBot="1" x14ac:dyDescent="0.3">
      <c r="A27" s="5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27"/>
      <c r="O27" s="27"/>
      <c r="P27" s="27"/>
      <c r="Q27" s="27"/>
      <c r="R27" s="6"/>
      <c r="S27" s="38"/>
      <c r="T27" s="34"/>
      <c r="U27" s="33"/>
      <c r="V27" s="33"/>
      <c r="W27" s="33"/>
      <c r="X27" s="33"/>
      <c r="Y27" s="33"/>
      <c r="Z27" s="33"/>
      <c r="AA27" s="27"/>
      <c r="AB27" s="27"/>
      <c r="AC27" s="27"/>
      <c r="AD27" s="27"/>
      <c r="AE27" s="27"/>
      <c r="AF27" s="27"/>
      <c r="AG27" s="27"/>
      <c r="AH27" s="27"/>
      <c r="AI27" s="27"/>
      <c r="AJ27" s="27"/>
      <c r="AK27" s="27"/>
      <c r="AL27" s="27"/>
      <c r="AM27" s="27"/>
      <c r="AN27" s="27"/>
      <c r="AO27" s="27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XFD27" s="1"/>
    </row>
    <row r="28" spans="1:64 16384:16384" ht="15.75" thickBot="1" x14ac:dyDescent="0.3">
      <c r="B28" s="14" t="s">
        <v>30</v>
      </c>
      <c r="C28" s="14" t="s">
        <v>30</v>
      </c>
      <c r="D28" s="14"/>
      <c r="E28" s="14"/>
      <c r="F28" s="14" t="s">
        <v>30</v>
      </c>
      <c r="G28" s="14" t="s">
        <v>30</v>
      </c>
      <c r="H28" s="14"/>
      <c r="I28" s="14"/>
      <c r="J28" s="14" t="s">
        <v>30</v>
      </c>
      <c r="K28" s="14" t="s">
        <v>30</v>
      </c>
      <c r="L28" s="14" t="s">
        <v>30</v>
      </c>
      <c r="M28" s="14"/>
      <c r="N28" s="14" t="s">
        <v>30</v>
      </c>
      <c r="O28" s="14" t="s">
        <v>30</v>
      </c>
      <c r="P28" s="14" t="s">
        <v>30</v>
      </c>
      <c r="Q28" s="14" t="s">
        <v>30</v>
      </c>
      <c r="R28" s="14" t="s">
        <v>30</v>
      </c>
      <c r="S28" s="39" t="s">
        <v>30</v>
      </c>
      <c r="T28" s="39" t="s">
        <v>30</v>
      </c>
      <c r="U28" s="39" t="s">
        <v>30</v>
      </c>
      <c r="V28" s="39" t="s">
        <v>30</v>
      </c>
      <c r="W28" s="39" t="s">
        <v>30</v>
      </c>
      <c r="X28" s="39" t="s">
        <v>30</v>
      </c>
      <c r="Y28" s="39" t="s">
        <v>30</v>
      </c>
      <c r="Z28" s="39" t="s">
        <v>30</v>
      </c>
      <c r="AA28" s="14" t="s">
        <v>30</v>
      </c>
      <c r="AB28" s="14" t="s">
        <v>30</v>
      </c>
      <c r="AC28" s="14" t="s">
        <v>30</v>
      </c>
      <c r="AD28" s="14" t="s">
        <v>30</v>
      </c>
      <c r="AE28" s="14" t="s">
        <v>30</v>
      </c>
      <c r="AF28" s="14" t="s">
        <v>30</v>
      </c>
      <c r="AG28" s="14" t="s">
        <v>30</v>
      </c>
      <c r="AH28" s="14" t="s">
        <v>30</v>
      </c>
      <c r="AI28" s="14" t="s">
        <v>30</v>
      </c>
      <c r="AJ28" s="14" t="s">
        <v>30</v>
      </c>
      <c r="AK28" s="14" t="s">
        <v>30</v>
      </c>
      <c r="AL28" s="14" t="s">
        <v>30</v>
      </c>
      <c r="AM28" s="27"/>
      <c r="AN28" s="27"/>
      <c r="AO28" s="27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</row>
    <row r="29" spans="1:64 16384:16384" x14ac:dyDescent="0.25">
      <c r="M29" s="30"/>
      <c r="AA29" s="27"/>
      <c r="AB29" s="27"/>
      <c r="AC29" s="27"/>
      <c r="AD29" s="27"/>
      <c r="AE29" s="27"/>
      <c r="AF29" s="27"/>
      <c r="AG29" s="27"/>
      <c r="AH29" s="27"/>
      <c r="AI29" s="27"/>
      <c r="AJ29" s="27"/>
      <c r="AK29" s="27"/>
      <c r="AL29" s="27"/>
      <c r="AM29" s="27"/>
      <c r="AN29" s="27"/>
      <c r="AO29" s="27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</row>
  </sheetData>
  <mergeCells count="33">
    <mergeCell ref="C5:H5"/>
    <mergeCell ref="A7:B7"/>
    <mergeCell ref="C7:H7"/>
    <mergeCell ref="A9:B9"/>
    <mergeCell ref="C9:H9"/>
    <mergeCell ref="A14:B14"/>
    <mergeCell ref="A15:B15"/>
    <mergeCell ref="A11:B11"/>
    <mergeCell ref="A13:B13"/>
    <mergeCell ref="A5:B5"/>
    <mergeCell ref="J22:J27"/>
    <mergeCell ref="K22:K27"/>
    <mergeCell ref="L22:L27"/>
    <mergeCell ref="M22:M27"/>
    <mergeCell ref="A17:B17"/>
    <mergeCell ref="A18:B18"/>
    <mergeCell ref="B21:M21"/>
    <mergeCell ref="B22:B27"/>
    <mergeCell ref="C22:C27"/>
    <mergeCell ref="D22:D27"/>
    <mergeCell ref="E22:E27"/>
    <mergeCell ref="F22:F27"/>
    <mergeCell ref="G22:G27"/>
    <mergeCell ref="H22:H27"/>
    <mergeCell ref="I22:I27"/>
    <mergeCell ref="K11:L11"/>
    <mergeCell ref="K12:L12"/>
    <mergeCell ref="K13:L13"/>
    <mergeCell ref="K14:L14"/>
    <mergeCell ref="G12:H12"/>
    <mergeCell ref="G13:H13"/>
    <mergeCell ref="G14:H14"/>
    <mergeCell ref="G11:H11"/>
  </mergeCells>
  <dataValidations count="5">
    <dataValidation type="list" allowBlank="1" showInputMessage="1" showErrorMessage="1" sqref="N27:R27" xr:uid="{00000000-0002-0000-0000-000000000000}">
      <formula1>$L$5:$L$7</formula1>
    </dataValidation>
    <dataValidation type="list" allowBlank="1" showInputMessage="1" showErrorMessage="1" sqref="N26:R26" xr:uid="{00000000-0002-0000-0000-000001000000}">
      <formula1>$K$5:$K$7</formula1>
    </dataValidation>
    <dataValidation type="list" allowBlank="1" showInputMessage="1" showErrorMessage="1" sqref="N25:R25" xr:uid="{00000000-0002-0000-0000-000002000000}">
      <formula1>$D$13:$D$16</formula1>
    </dataValidation>
    <dataValidation type="list" allowBlank="1" showInputMessage="1" showErrorMessage="1" sqref="B28:AL28" xr:uid="{00000000-0002-0000-0000-000003000000}">
      <formula1>$S$1</formula1>
    </dataValidation>
    <dataValidation type="list" allowBlank="1" showInputMessage="1" showErrorMessage="1" sqref="D18" xr:uid="{00000000-0002-0000-0000-000004000000}">
      <formula1>$T$1:$T$2</formula1>
    </dataValidation>
  </dataValidations>
  <pageMargins left="0.7" right="0.7" top="0.75" bottom="0.75" header="0.3" footer="0.3"/>
  <pageSetup orientation="portrait" horizontalDpi="4294967294" verticalDpi="300" r:id="rId1"/>
  <ignoredErrors>
    <ignoredError sqref="C18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5000000}">
          <x14:formula1>
            <xm:f>Script!$C$5:$C$10</xm:f>
          </x14:formula1>
          <xm:sqref>C5:H5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C342"/>
  <sheetViews>
    <sheetView topLeftCell="A130" zoomScale="70" zoomScaleNormal="70" workbookViewId="0">
      <selection activeCell="A157" sqref="A157:XFD256"/>
    </sheetView>
  </sheetViews>
  <sheetFormatPr baseColWidth="10" defaultRowHeight="15" x14ac:dyDescent="0.25"/>
  <cols>
    <col min="1" max="1" width="86" style="31" customWidth="1"/>
    <col min="3" max="3" width="31" customWidth="1"/>
  </cols>
  <sheetData>
    <row r="1" spans="1:3" x14ac:dyDescent="0.25">
      <c r="A1" s="31" t="str">
        <f>CONCATENATE("DT_",BORRADO!C7,"_",UPPER(BORRADO!I9),".txt")</f>
        <v>DT_BI926_BORRADO.txt</v>
      </c>
      <c r="B1" s="4"/>
    </row>
    <row r="2" spans="1:3" x14ac:dyDescent="0.25">
      <c r="A2" s="31" t="s">
        <v>8</v>
      </c>
    </row>
    <row r="3" spans="1:3" x14ac:dyDescent="0.25">
      <c r="A3" s="31" t="str">
        <f>CONCATENATE("@L+ ",BORRADO!C7,"_",UPPER(BORRADO!I9),"_BORRADO.log")</f>
        <v>@L+ BI926_BORRADO_BORRADO.log</v>
      </c>
    </row>
    <row r="4" spans="1:3" x14ac:dyDescent="0.25">
      <c r="C4" s="4" t="s">
        <v>0</v>
      </c>
    </row>
    <row r="5" spans="1:3" x14ac:dyDescent="0.25">
      <c r="C5" s="4" t="s">
        <v>17</v>
      </c>
    </row>
    <row r="6" spans="1:3" x14ac:dyDescent="0.25">
      <c r="A6" s="31" t="str">
        <f>CONCATENATE("eaw ",BORRADO!C11,";")</f>
        <v>eaw TAB01;</v>
      </c>
      <c r="C6" s="4" t="s">
        <v>18</v>
      </c>
    </row>
    <row r="7" spans="1:3" x14ac:dyDescent="0.25">
      <c r="A7" s="31" t="str">
        <f>CONCATENATE("@GETTIME {HMM} HH:MM")</f>
        <v>@GETTIME {HMM} HH:MM</v>
      </c>
      <c r="C7" s="4" t="s">
        <v>19</v>
      </c>
    </row>
    <row r="8" spans="1:3" x14ac:dyDescent="0.25">
      <c r="A8" s="31" t="str">
        <f>CONCATENATE("@GETDATE {DDMMYYYY} DD-MM-YYYY")</f>
        <v>@GETDATE {DDMMYYYY} DD-MM-YYYY</v>
      </c>
      <c r="C8" s="4" t="s">
        <v>20</v>
      </c>
    </row>
    <row r="9" spans="1:3" x14ac:dyDescent="0.25">
      <c r="A9" s="31" t="s">
        <v>9</v>
      </c>
      <c r="C9" s="4" t="s">
        <v>21</v>
      </c>
    </row>
    <row r="10" spans="1:3" x14ac:dyDescent="0.25">
      <c r="A10" s="31" t="s">
        <v>10</v>
      </c>
      <c r="C10" s="4" t="s">
        <v>1</v>
      </c>
    </row>
    <row r="11" spans="1:3" x14ac:dyDescent="0.25">
      <c r="A11" s="31" t="s">
        <v>11</v>
      </c>
    </row>
    <row r="12" spans="1:3" x14ac:dyDescent="0.25">
      <c r="A12" s="31" t="s">
        <v>12</v>
      </c>
    </row>
    <row r="13" spans="1:3" x14ac:dyDescent="0.25">
      <c r="A13" s="31" t="s">
        <v>11</v>
      </c>
    </row>
    <row r="14" spans="1:3" x14ac:dyDescent="0.25">
      <c r="A14" s="31" t="str">
        <f>CONCATENATE("@COMMENT | SITE CODE:  ",UPPER(BORRADO!C7),"                              | ##")</f>
        <v>@COMMENT | SITE CODE:  BI926                              | ##</v>
      </c>
    </row>
    <row r="15" spans="1:3" x14ac:dyDescent="0.25">
      <c r="A15" s="31" t="str">
        <f>CONCATENATE("@COMMENT | SITE NAME:  ",UPPER(BORRADO!C9),"                     | ##")</f>
        <v>@COMMENT | SITE NAME:  BORRADO                     | ##</v>
      </c>
    </row>
    <row r="16" spans="1:3" x14ac:dyDescent="0.25">
      <c r="A16" s="31" t="str">
        <f>CONCATENATE("@COMMENT | BSC:        ",UPPER(BORRADO!C11),"                              | ##")</f>
        <v>@COMMENT | BSC:        TAB01                              | ##</v>
      </c>
    </row>
    <row r="17" spans="1:1" x14ac:dyDescent="0.25">
      <c r="A17" s="31" t="s">
        <v>11</v>
      </c>
    </row>
    <row r="18" spans="1:1" x14ac:dyDescent="0.25">
      <c r="A18" s="31" t="str">
        <f>CONCATENATE("@COMMENT | GENERA:  ",BORRADO!C5,"                    | ##")</f>
        <v>@COMMENT | GENERA:  ARIEL FUENTES                       | ##</v>
      </c>
    </row>
    <row r="19" spans="1:1" x14ac:dyDescent="0.25">
      <c r="A19" s="31" t="s">
        <v>11</v>
      </c>
    </row>
    <row r="20" spans="1:1" x14ac:dyDescent="0.25">
      <c r="A20" s="31" t="str">
        <f>CONCATENATE("@COMMENT | F1 SERVICES &amp; SOLUTIONS                        | ##")</f>
        <v>@COMMENT | F1 SERVICES &amp; SOLUTIONS                        | ##</v>
      </c>
    </row>
    <row r="21" spans="1:1" x14ac:dyDescent="0.25">
      <c r="A21" s="31" t="s">
        <v>11</v>
      </c>
    </row>
    <row r="23" spans="1:1" x14ac:dyDescent="0.25">
      <c r="A23" s="31" t="s">
        <v>9</v>
      </c>
    </row>
    <row r="24" spans="1:1" x14ac:dyDescent="0.25">
      <c r="A24" s="31" t="s">
        <v>13</v>
      </c>
    </row>
    <row r="25" spans="1:1" x14ac:dyDescent="0.25">
      <c r="A25" s="31" t="s">
        <v>9</v>
      </c>
    </row>
    <row r="26" spans="1:1" x14ac:dyDescent="0.25">
      <c r="A26" s="31" t="s">
        <v>14</v>
      </c>
    </row>
    <row r="27" spans="1:1" x14ac:dyDescent="0.25">
      <c r="A27" s="31" t="s">
        <v>15</v>
      </c>
    </row>
    <row r="29" spans="1:1" x14ac:dyDescent="0.25">
      <c r="A29" s="31" t="s">
        <v>9</v>
      </c>
    </row>
    <row r="30" spans="1:1" x14ac:dyDescent="0.25">
      <c r="A30" s="31" t="s">
        <v>16</v>
      </c>
    </row>
    <row r="31" spans="1:1" x14ac:dyDescent="0.25">
      <c r="A31" s="31" t="s">
        <v>9</v>
      </c>
    </row>
    <row r="32" spans="1:1" x14ac:dyDescent="0.25">
      <c r="A32" s="31" t="str">
        <f>IF(COUNTIF(A33:A36,"NULL")=3,"NULL","CACLP;")</f>
        <v>CACLP;</v>
      </c>
    </row>
    <row r="33" spans="1:1" x14ac:dyDescent="0.25">
      <c r="A33" s="31" t="str">
        <f>IF(BORRADO!C13="","NULL",CONCATENATE("RLSTC:CELL=",BORRADO!C13,",STATE=HALTED;"))</f>
        <v>RLSTC:CELL=39264,STATE=HALTED;</v>
      </c>
    </row>
    <row r="34" spans="1:1" x14ac:dyDescent="0.25">
      <c r="A34" s="31" t="str">
        <f>IF(BORRADO!C13="","NULL","")</f>
        <v/>
      </c>
    </row>
    <row r="35" spans="1:1" x14ac:dyDescent="0.25">
      <c r="A35" s="31" t="str">
        <f>IF(BORRADO!C14="","NULL",CONCATENATE("RLSTC:CELL=",BORRADO!C14,",STATE=HALTED;"))</f>
        <v>RLSTC:CELL=39265,STATE=HALTED;</v>
      </c>
    </row>
    <row r="36" spans="1:1" x14ac:dyDescent="0.25">
      <c r="A36" s="31" t="str">
        <f>IF(BORRADO!C14="","NULL","")</f>
        <v/>
      </c>
    </row>
    <row r="37" spans="1:1" x14ac:dyDescent="0.25">
      <c r="A37" s="31" t="str">
        <f>IF(BORRADO!C15="","NULL",CONCATENATE("RLSTC:CELL=",BORRADO!C15,",STATE=HALTED;"))</f>
        <v>RLSTC:CELL=39266,STATE=HALTED;</v>
      </c>
    </row>
    <row r="38" spans="1:1" x14ac:dyDescent="0.25">
      <c r="A38" s="31" t="str">
        <f>IF(BORRADO!C15="","NULL","")</f>
        <v/>
      </c>
    </row>
    <row r="40" spans="1:1" x14ac:dyDescent="0.25">
      <c r="A40" s="31" t="str">
        <f>IF(BORRADO!C13="","NULL",CONCATENATE("RLSLE:CELL=",BORRADO!C13,",PERM;"))</f>
        <v>RLSLE:CELL=39264,PERM;</v>
      </c>
    </row>
    <row r="41" spans="1:1" x14ac:dyDescent="0.25">
      <c r="A41" s="31" t="str">
        <f>IF(BORRADO!C14="","NULL",CONCATENATE("RLSLE:CELL=",BORRADO!C14,",PERM;"))</f>
        <v>RLSLE:CELL=39265,PERM;</v>
      </c>
    </row>
    <row r="42" spans="1:1" x14ac:dyDescent="0.25">
      <c r="A42" s="31" t="str">
        <f>IF(BORRADO!C15="","NULL",CONCATENATE("RLSLE:CELL=",BORRADO!C15,",PERM;"))</f>
        <v>RLSLE:CELL=39266,PERM;</v>
      </c>
    </row>
    <row r="43" spans="1:1" x14ac:dyDescent="0.25">
      <c r="A43" s="31" t="s">
        <v>22</v>
      </c>
    </row>
    <row r="44" spans="1:1" x14ac:dyDescent="0.25">
      <c r="A44" s="31" t="s">
        <v>23</v>
      </c>
    </row>
    <row r="45" spans="1:1" x14ac:dyDescent="0.25">
      <c r="A45" s="31" t="str">
        <f>IF(BORRADO!C13="","NULL",CONCATENATE("RLVLE:CELL=",BORRADO!C13,",CHTYPE=TCH;"))</f>
        <v>RLVLE:CELL=39264,CHTYPE=TCH;</v>
      </c>
    </row>
    <row r="46" spans="1:1" x14ac:dyDescent="0.25">
      <c r="A46" s="31" t="str">
        <f>IF(BORRADO!C13="","NULL",CONCATENATE("RLVLE:CELL=",BORRADO!C13,",CHTYPE=SDCCH;"))</f>
        <v>RLVLE:CELL=39264,CHTYPE=SDCCH;</v>
      </c>
    </row>
    <row r="47" spans="1:1" x14ac:dyDescent="0.25">
      <c r="A47" s="31" t="str">
        <f>IF(BORRADO!C14="","NULL",CONCATENATE("RLVLE:CELL=",BORRADO!C14,",CHTYPE=TCH;"))</f>
        <v>RLVLE:CELL=39265,CHTYPE=TCH;</v>
      </c>
    </row>
    <row r="48" spans="1:1" x14ac:dyDescent="0.25">
      <c r="A48" s="31" t="str">
        <f>IF(BORRADO!C14="","NULL",CONCATENATE("RLVLE:CELL=",BORRADO!C14,",CHTYPE=SDCCH;"))</f>
        <v>RLVLE:CELL=39265,CHTYPE=SDCCH;</v>
      </c>
    </row>
    <row r="49" spans="1:1" x14ac:dyDescent="0.25">
      <c r="A49" s="31" t="str">
        <f>IF(BORRADO!C15="","NULL",CONCATENATE("RLVLE:CELL=",BORRADO!C15,",CHTYPE=TCH;"))</f>
        <v>RLVLE:CELL=39266,CHTYPE=TCH;</v>
      </c>
    </row>
    <row r="50" spans="1:1" x14ac:dyDescent="0.25">
      <c r="A50" s="31" t="str">
        <f>IF(BORRADO!C15="","NULL",CONCATENATE("RLVLE:CELL=",BORRADO!C15,",CHTYPE=SDCCH;"))</f>
        <v>RLVLE:CELL=39266,CHTYPE=SDCCH;</v>
      </c>
    </row>
    <row r="51" spans="1:1" x14ac:dyDescent="0.25">
      <c r="A51" s="31" t="s">
        <v>24</v>
      </c>
    </row>
    <row r="52" spans="1:1" x14ac:dyDescent="0.25">
      <c r="A52" s="31" t="s">
        <v>25</v>
      </c>
    </row>
    <row r="53" spans="1:1" x14ac:dyDescent="0.25">
      <c r="A53" s="31" t="s">
        <v>26</v>
      </c>
    </row>
    <row r="55" spans="1:1" x14ac:dyDescent="0.25">
      <c r="A55" s="31" t="str">
        <f>IF(COUNTIF(A58:A156,"NULL")=117,"NULL","@COMMENT +------------------------------------------------+ ##")</f>
        <v>@COMMENT +------------------------------------------------+ ##</v>
      </c>
    </row>
    <row r="56" spans="1:1" x14ac:dyDescent="0.25">
      <c r="A56" s="31" t="str">
        <f>IF(COUNTIF(A58:A156,"NULL")=117,"NULL","@COMMENT |             BLOCKING AND OUTSERVICE            | ##")</f>
        <v>@COMMENT |             BLOCKING AND OUTSERVICE            | ##</v>
      </c>
    </row>
    <row r="57" spans="1:1" x14ac:dyDescent="0.25">
      <c r="A57" s="31" t="str">
        <f>IF(COUNTIF(A58:A156,"NULL")=117,"NULL","@COMMENT +------------------------------------------------+ ##")</f>
        <v>@COMMENT +------------------------------------------------+ ##</v>
      </c>
    </row>
    <row r="58" spans="1:1" x14ac:dyDescent="0.25">
      <c r="A58" s="31" t="str">
        <f>IF(BORRADO!C17="","NULL",CONCATENATE("RXBLI:MO=RXOTG-",BORRADO!C17,",SUBORD,FORCE;"))</f>
        <v>RXBLI:MO=RXOTG-113,SUBORD,FORCE;</v>
      </c>
    </row>
    <row r="59" spans="1:1" x14ac:dyDescent="0.25">
      <c r="A59" s="31" t="str">
        <f>IF(BORRADO!C17="","NULL",CONCATENATE("RXESE:MO=RXOTG-",BORRADO!C17,",SUBORD;"))</f>
        <v>RXESE:MO=RXOTG-113,SUBORD;</v>
      </c>
    </row>
    <row r="61" spans="1:1" x14ac:dyDescent="0.25">
      <c r="A61" s="31" t="s">
        <v>9</v>
      </c>
    </row>
    <row r="62" spans="1:1" x14ac:dyDescent="0.25">
      <c r="A62" s="31" t="s">
        <v>28</v>
      </c>
    </row>
    <row r="63" spans="1:1" x14ac:dyDescent="0.25">
      <c r="A63" s="31" t="s">
        <v>9</v>
      </c>
    </row>
    <row r="64" spans="1:1" x14ac:dyDescent="0.25">
      <c r="A64" s="31" t="str">
        <f>IF(BORRADO!C17="","NULL",CONCATENATE("RXTCP:MO=RXOTG-",BORRADO!C17,";"))</f>
        <v>RXTCP:MO=RXOTG-113;</v>
      </c>
    </row>
    <row r="65" spans="1:1" x14ac:dyDescent="0.25">
      <c r="A65" s="31" t="str">
        <f>IF(BORRADO!C13="","NULL",CONCATENATE("RXTCE:MO=RXOTG-",BORRADO!C17,",CELL=",BORRADO!C13,",CHGR=0;"))</f>
        <v>RXTCE:MO=RXOTG-113,CELL=39264,CHGR=0;</v>
      </c>
    </row>
    <row r="66" spans="1:1" x14ac:dyDescent="0.25">
      <c r="A66" s="31" t="str">
        <f>IF(BORRADO!C13="","NULL",CONCATENATE("RXTCE:MO=RXOTG-",BORRADO!C17,",CELL=",BORRADO!C13,",CHGR=1;"))</f>
        <v>RXTCE:MO=RXOTG-113,CELL=39264,CHGR=1;</v>
      </c>
    </row>
    <row r="67" spans="1:1" x14ac:dyDescent="0.25">
      <c r="A67" s="31" t="str">
        <f>IF(BORRADO!C14="","NULL",CONCATENATE("RXTCE:MO=RXOTG-",BORRADO!C17,",CELL=",BORRADO!C14,",CHGR=0;"))</f>
        <v>RXTCE:MO=RXOTG-113,CELL=39265,CHGR=0;</v>
      </c>
    </row>
    <row r="68" spans="1:1" x14ac:dyDescent="0.25">
      <c r="A68" s="31" t="str">
        <f>IF(BORRADO!C14="","NULL",CONCATENATE("RXTCE:MO=RXOTG-",BORRADO!C17,",CELL=",BORRADO!C14,",CHGR=1;"))</f>
        <v>RXTCE:MO=RXOTG-113,CELL=39265,CHGR=1;</v>
      </c>
    </row>
    <row r="69" spans="1:1" x14ac:dyDescent="0.25">
      <c r="A69" s="31" t="str">
        <f>IF(BORRADO!C15="","NULL",CONCATENATE("RXTCE:MO=RXOTG-",BORRADO!C17,",CELL=",BORRADO!C15,",CHGR=0;"))</f>
        <v>RXTCE:MO=RXOTG-113,CELL=39266,CHGR=0;</v>
      </c>
    </row>
    <row r="70" spans="1:1" x14ac:dyDescent="0.25">
      <c r="A70" s="31" t="str">
        <f>IF(BORRADO!C15="","NULL",CONCATENATE("RXTCE:MO=RXOTG-",BORRADO!C17,",CELL=",BORRADO!C15,",CHGR=1;"))</f>
        <v>RXTCE:MO=RXOTG-113,CELL=39266,CHGR=1;</v>
      </c>
    </row>
    <row r="71" spans="1:1" x14ac:dyDescent="0.25">
      <c r="A71" s="31" t="str">
        <f>IF(BORRADO!C17="","NULL",CONCATENATE("RXTCP:MO=RXOTG-",BORRADO!C17,";"))</f>
        <v>RXTCP:MO=RXOTG-113;</v>
      </c>
    </row>
    <row r="73" spans="1:1" x14ac:dyDescent="0.25">
      <c r="A73" s="31" t="s">
        <v>9</v>
      </c>
    </row>
    <row r="74" spans="1:1" x14ac:dyDescent="0.25">
      <c r="A74" s="31" t="s">
        <v>31</v>
      </c>
    </row>
    <row r="75" spans="1:1" x14ac:dyDescent="0.25">
      <c r="A75" s="31" t="s">
        <v>9</v>
      </c>
    </row>
    <row r="76" spans="1:1" x14ac:dyDescent="0.25">
      <c r="A76" s="31" t="str">
        <f>IF(BORRADO!B28="DELETE",CONCATENATE("RXMOE:MO=RXO",CONCATENATE("TS-",BORRADO!C17,"-0-0&amp;&amp;-7"),";"),"NULL")</f>
        <v>RXMOE:MO=RXOTS-113-0-0&amp;&amp;-7;</v>
      </c>
    </row>
    <row r="77" spans="1:1" x14ac:dyDescent="0.25">
      <c r="A77" s="31" t="str">
        <f>IF(BORRADO!B28="DELETE",CONCATENATE("RXMOE:MO=RXO",CONCATENATE("TX-",BORRADO!C17,"-0"),";"),"NULL")</f>
        <v>RXMOE:MO=RXOTX-113-0;</v>
      </c>
    </row>
    <row r="78" spans="1:1" x14ac:dyDescent="0.25">
      <c r="A78" s="31" t="str">
        <f>IF(BORRADO!B28="DELETE",CONCATENATE("RXMOE:MO=RXO",CONCATENATE("RX-",BORRADO!C17,"-0"),";"),"NULL")</f>
        <v>RXMOE:MO=RXORX-113-0;</v>
      </c>
    </row>
    <row r="79" spans="1:1" x14ac:dyDescent="0.25">
      <c r="A79" s="31" t="str">
        <f>IF(BORRADO!B28="DELETE",CONCATENATE("RXMOE:MO=RXO",CONCATENATE("TRX-",BORRADO!C17,"-0"),";"),"NULL")</f>
        <v>RXMOE:MO=RXOTRX-113-0;</v>
      </c>
    </row>
    <row r="80" spans="1:1" x14ac:dyDescent="0.25">
      <c r="A80" s="31" t="str">
        <f>IF(BORRADO!B28="DELETE","","NULL")</f>
        <v/>
      </c>
    </row>
    <row r="81" spans="1:1" x14ac:dyDescent="0.25">
      <c r="A81" s="31" t="str">
        <f>IF(BORRADO!C28="DELETE",CONCATENATE("RXMOE:MO=RXO",CONCATENATE("TS-",BORRADO!C17,"-1-0&amp;&amp;-7"),";"),"NULL")</f>
        <v>RXMOE:MO=RXOTS-113-1-0&amp;&amp;-7;</v>
      </c>
    </row>
    <row r="82" spans="1:1" x14ac:dyDescent="0.25">
      <c r="A82" s="31" t="str">
        <f>IF(BORRADO!C28="DELETE",CONCATENATE("RXMOE:MO=RXO",CONCATENATE("TX-",BORRADO!C17,"-1"),";"),"NULL")</f>
        <v>RXMOE:MO=RXOTX-113-1;</v>
      </c>
    </row>
    <row r="83" spans="1:1" x14ac:dyDescent="0.25">
      <c r="A83" s="31" t="str">
        <f>IF(BORRADO!C28="DELETE",CONCATENATE("RXMOE:MO=RXO",CONCATENATE("RX-",BORRADO!C17,"-1"),";"),"NULL")</f>
        <v>RXMOE:MO=RXORX-113-1;</v>
      </c>
    </row>
    <row r="84" spans="1:1" x14ac:dyDescent="0.25">
      <c r="A84" s="31" t="str">
        <f>IF(BORRADO!C28="DELETE",CONCATENATE("RXMOE:MO=RXO",CONCATENATE("TRX-",BORRADO!C17,"-1"),";"),"NULL")</f>
        <v>RXMOE:MO=RXOTRX-113-1;</v>
      </c>
    </row>
    <row r="85" spans="1:1" x14ac:dyDescent="0.25">
      <c r="A85" s="31" t="str">
        <f>IF(BORRADO!C28="DELETE","","NULL")</f>
        <v/>
      </c>
    </row>
    <row r="86" spans="1:1" x14ac:dyDescent="0.25">
      <c r="A86" s="31" t="str">
        <f>IF(BORRADO!D28="DELETE",CONCATENATE("RXMOE:MO=RXO",CONCATENATE("TS-",BORRADO!C17,"-2-0&amp;&amp;-7"),";"),"NULL")</f>
        <v>NULL</v>
      </c>
    </row>
    <row r="87" spans="1:1" x14ac:dyDescent="0.25">
      <c r="A87" s="31" t="str">
        <f>IF(BORRADO!D28="DELETE",CONCATENATE("RXMOE:MO=RXO",CONCATENATE("TX-",BORRADO!C17,"-2"),";"),"NULL")</f>
        <v>NULL</v>
      </c>
    </row>
    <row r="88" spans="1:1" x14ac:dyDescent="0.25">
      <c r="A88" s="31" t="str">
        <f>IF(BORRADO!D28="DELETE",CONCATENATE("RXMOE:MO=RXO",CONCATENATE("RX-",BORRADO!C17,"-2"),";"),"NULL")</f>
        <v>NULL</v>
      </c>
    </row>
    <row r="89" spans="1:1" x14ac:dyDescent="0.25">
      <c r="A89" s="31" t="str">
        <f>IF(BORRADO!D28="DELETE",CONCATENATE("RXMOE:MO=RXO",CONCATENATE("TRX-",BORRADO!C17,"-2"),";"),"NULL")</f>
        <v>NULL</v>
      </c>
    </row>
    <row r="90" spans="1:1" x14ac:dyDescent="0.25">
      <c r="A90" s="31" t="str">
        <f>IF(BORRADO!D28="DELETE","","NULL")</f>
        <v>NULL</v>
      </c>
    </row>
    <row r="91" spans="1:1" x14ac:dyDescent="0.25">
      <c r="A91" s="31" t="str">
        <f>IF(BORRADO!E28="DELETE",CONCATENATE("RXMOE:MO=RXO",CONCATENATE("TS-",BORRADO!C17,"-3-0&amp;&amp;-7"),";"),"NULL")</f>
        <v>NULL</v>
      </c>
    </row>
    <row r="92" spans="1:1" x14ac:dyDescent="0.25">
      <c r="A92" s="31" t="str">
        <f>IF(BORRADO!E28="DELETE",CONCATENATE("RXMOE:MO=RXO",CONCATENATE("TX-",BORRADO!C17,"-3"),";"),"NULL")</f>
        <v>NULL</v>
      </c>
    </row>
    <row r="93" spans="1:1" x14ac:dyDescent="0.25">
      <c r="A93" s="31" t="str">
        <f>IF(BORRADO!E28="DELETE",CONCATENATE("RXMOE:MO=RXO",CONCATENATE("RX-",BORRADO!C17,"-3"),";"),"NULL")</f>
        <v>NULL</v>
      </c>
    </row>
    <row r="94" spans="1:1" x14ac:dyDescent="0.25">
      <c r="A94" s="31" t="str">
        <f>IF(BORRADO!E28="DELETE",CONCATENATE("RXMOE:MO=RXO",CONCATENATE("TRX-",BORRADO!C17,"-3"),";"),"NULL")</f>
        <v>NULL</v>
      </c>
    </row>
    <row r="95" spans="1:1" x14ac:dyDescent="0.25">
      <c r="A95" s="31" t="str">
        <f>IF(BORRADO!E28="DELETE","","NULL")</f>
        <v>NULL</v>
      </c>
    </row>
    <row r="96" spans="1:1" x14ac:dyDescent="0.25">
      <c r="A96" s="31" t="str">
        <f>IF(BORRADO!F28="DELETE",CONCATENATE("RXMOE:MO=RXO",CONCATENATE("TS-",BORRADO!C17,"-4-0&amp;&amp;-7"),";"),"NULL")</f>
        <v>RXMOE:MO=RXOTS-113-4-0&amp;&amp;-7;</v>
      </c>
    </row>
    <row r="97" spans="1:1" x14ac:dyDescent="0.25">
      <c r="A97" s="31" t="str">
        <f>IF(BORRADO!F28="DELETE",CONCATENATE("RXMOE:MO=RXO",CONCATENATE("TX-",BORRADO!C17,"-4"),";"),"NULL")</f>
        <v>RXMOE:MO=RXOTX-113-4;</v>
      </c>
    </row>
    <row r="98" spans="1:1" x14ac:dyDescent="0.25">
      <c r="A98" s="31" t="str">
        <f>IF(BORRADO!F28="DELETE",CONCATENATE("RXMOE:MO=RXO",CONCATENATE("RX-",BORRADO!C17,"-4"),";"),"NULL")</f>
        <v>RXMOE:MO=RXORX-113-4;</v>
      </c>
    </row>
    <row r="99" spans="1:1" x14ac:dyDescent="0.25">
      <c r="A99" s="31" t="str">
        <f>IF(BORRADO!F28="DELETE",CONCATENATE("RXMOE:MO=RXO",CONCATENATE("TRX-",BORRADO!C17,"-4"),";"),"NULL")</f>
        <v>RXMOE:MO=RXOTRX-113-4;</v>
      </c>
    </row>
    <row r="100" spans="1:1" x14ac:dyDescent="0.25">
      <c r="A100" s="31" t="str">
        <f>IF(BORRADO!F28="DELETE","","NULL")</f>
        <v/>
      </c>
    </row>
    <row r="101" spans="1:1" x14ac:dyDescent="0.25">
      <c r="A101" s="31" t="str">
        <f>IF(BORRADO!G28="DELETE",CONCATENATE("RXMOE:MO=RXO",CONCATENATE("TS-",BORRADO!C17,"-5-0&amp;&amp;-7"),";"),"NULL")</f>
        <v>RXMOE:MO=RXOTS-113-5-0&amp;&amp;-7;</v>
      </c>
    </row>
    <row r="102" spans="1:1" x14ac:dyDescent="0.25">
      <c r="A102" s="31" t="str">
        <f>IF(BORRADO!G28="DELETE",CONCATENATE("RXMOE:MO=RXO",CONCATENATE("TX-",BORRADO!C17,"-5"),";"),"NULL")</f>
        <v>RXMOE:MO=RXOTX-113-5;</v>
      </c>
    </row>
    <row r="103" spans="1:1" x14ac:dyDescent="0.25">
      <c r="A103" s="31" t="str">
        <f>IF(BORRADO!G28="DELETE",CONCATENATE("RXMOE:MO=RXO",CONCATENATE("RX-",BORRADO!C17,"-5"),";"),"NULL")</f>
        <v>RXMOE:MO=RXORX-113-5;</v>
      </c>
    </row>
    <row r="104" spans="1:1" x14ac:dyDescent="0.25">
      <c r="A104" s="31" t="str">
        <f>IF(BORRADO!G28="DELETE",CONCATENATE("RXMOE:MO=RXO",CONCATENATE("TRX-",BORRADO!C17,"-5"),";"),"NULL")</f>
        <v>RXMOE:MO=RXOTRX-113-5;</v>
      </c>
    </row>
    <row r="105" spans="1:1" x14ac:dyDescent="0.25">
      <c r="A105" s="31" t="str">
        <f>IF(BORRADO!G28="DELETE","","NULL")</f>
        <v/>
      </c>
    </row>
    <row r="106" spans="1:1" x14ac:dyDescent="0.25">
      <c r="A106" s="31" t="str">
        <f>IF(BORRADO!H28="DELETE",CONCATENATE("RXMOE:MO=RXO",CONCATENATE("TS-",BORRADO!C17,"-6-0&amp;&amp;-7"),";"),"NULL")</f>
        <v>NULL</v>
      </c>
    </row>
    <row r="107" spans="1:1" x14ac:dyDescent="0.25">
      <c r="A107" s="31" t="str">
        <f>IF(BORRADO!H28="DELETE",CONCATENATE("RXMOE:MO=RXO",CONCATENATE("TX-",BORRADO!C17,"-6"),";"),"NULL")</f>
        <v>NULL</v>
      </c>
    </row>
    <row r="108" spans="1:1" x14ac:dyDescent="0.25">
      <c r="A108" s="31" t="str">
        <f>IF(BORRADO!H28="DELETE",CONCATENATE("RXMOE:MO=RXO",CONCATENATE("RX-",BORRADO!C17,"-6"),";"),"NULL")</f>
        <v>NULL</v>
      </c>
    </row>
    <row r="109" spans="1:1" x14ac:dyDescent="0.25">
      <c r="A109" s="31" t="str">
        <f>IF(BORRADO!H28="DELETE",CONCATENATE("RXMOE:MO=RXO",CONCATENATE("TRX-",BORRADO!C17,"-6"),";"),"NULL")</f>
        <v>NULL</v>
      </c>
    </row>
    <row r="110" spans="1:1" x14ac:dyDescent="0.25">
      <c r="A110" s="31" t="str">
        <f>IF(BORRADO!H28="DELETE","","NULL")</f>
        <v>NULL</v>
      </c>
    </row>
    <row r="111" spans="1:1" x14ac:dyDescent="0.25">
      <c r="A111" s="31" t="str">
        <f>IF(BORRADO!I28="DELETE",CONCATENATE("RXMOE:MO=RXO",CONCATENATE("TS-",BORRADO!C17,"-7-0&amp;&amp;-7"),";"),"NULL")</f>
        <v>NULL</v>
      </c>
    </row>
    <row r="112" spans="1:1" x14ac:dyDescent="0.25">
      <c r="A112" s="31" t="str">
        <f>IF(BORRADO!I28="DELETE",CONCATENATE("RXMOE:MO=RXO",CONCATENATE("TX-",BORRADO!C17,"-7"),";"),"NULL")</f>
        <v>NULL</v>
      </c>
    </row>
    <row r="113" spans="1:1" x14ac:dyDescent="0.25">
      <c r="A113" s="31" t="str">
        <f>IF(BORRADO!I28="DELETE",CONCATENATE("RXMOE:MO=RXO",CONCATENATE("RX-",BORRADO!C17,"-7"),";"),"NULL")</f>
        <v>NULL</v>
      </c>
    </row>
    <row r="114" spans="1:1" x14ac:dyDescent="0.25">
      <c r="A114" s="31" t="str">
        <f>IF(BORRADO!I28="DELETE",CONCATENATE("RXMOE:MO=RXO",CONCATENATE("TRX-",BORRADO!C17,"-7"),";"),"NULL")</f>
        <v>NULL</v>
      </c>
    </row>
    <row r="115" spans="1:1" x14ac:dyDescent="0.25">
      <c r="A115" s="31" t="str">
        <f>IF(BORRADO!I28="DELETE","","NULL")</f>
        <v>NULL</v>
      </c>
    </row>
    <row r="116" spans="1:1" x14ac:dyDescent="0.25">
      <c r="A116" s="31" t="str">
        <f>IF(BORRADO!J28="DELETE",CONCATENATE("RXMOE:MO=RXO",CONCATENATE("TS-",BORRADO!C17,"-8-0&amp;&amp;-7"),";"),"NULL")</f>
        <v>RXMOE:MO=RXOTS-113-8-0&amp;&amp;-7;</v>
      </c>
    </row>
    <row r="117" spans="1:1" x14ac:dyDescent="0.25">
      <c r="A117" s="31" t="str">
        <f>IF(BORRADO!J28="DELETE",CONCATENATE("RXMOE:MO=RXO",CONCATENATE("TX-",BORRADO!C17,"-8"),";"),"NULL")</f>
        <v>RXMOE:MO=RXOTX-113-8;</v>
      </c>
    </row>
    <row r="118" spans="1:1" x14ac:dyDescent="0.25">
      <c r="A118" s="31" t="str">
        <f>IF(BORRADO!J28="DELETE",CONCATENATE("RXMOE:MO=RXO",CONCATENATE("RX-",BORRADO!C17,"-8"),";"),"NULL")</f>
        <v>RXMOE:MO=RXORX-113-8;</v>
      </c>
    </row>
    <row r="119" spans="1:1" x14ac:dyDescent="0.25">
      <c r="A119" s="31" t="str">
        <f>IF(BORRADO!J28="DELETE",CONCATENATE("RXMOE:MO=RXO",CONCATENATE("TRX-",BORRADO!C17,"-8"),";"),"NULL")</f>
        <v>RXMOE:MO=RXOTRX-113-8;</v>
      </c>
    </row>
    <row r="120" spans="1:1" x14ac:dyDescent="0.25">
      <c r="A120" s="31" t="str">
        <f>IF(BORRADO!J28="DELETE","","NULL")</f>
        <v/>
      </c>
    </row>
    <row r="121" spans="1:1" x14ac:dyDescent="0.25">
      <c r="A121" s="31" t="str">
        <f>IF(BORRADO!K28="DELETE",CONCATENATE("RXMOE:MO=RXO",CONCATENATE("TS-",BORRADO!C17,"-9-0&amp;&amp;-7"),";"),"NULL")</f>
        <v>RXMOE:MO=RXOTS-113-9-0&amp;&amp;-7;</v>
      </c>
    </row>
    <row r="122" spans="1:1" x14ac:dyDescent="0.25">
      <c r="A122" s="31" t="str">
        <f>IF(BORRADO!K28="DELETE",CONCATENATE("RXMOE:MO=RXO",CONCATENATE("TX-",BORRADO!C17,"-9"),";"),"NULL")</f>
        <v>RXMOE:MO=RXOTX-113-9;</v>
      </c>
    </row>
    <row r="123" spans="1:1" x14ac:dyDescent="0.25">
      <c r="A123" s="31" t="str">
        <f>IF(BORRADO!K28="DELETE",CONCATENATE("RXMOE:MO=RXO",CONCATENATE("RX-",BORRADO!C17,"-9"),";"),"NULL")</f>
        <v>RXMOE:MO=RXORX-113-9;</v>
      </c>
    </row>
    <row r="124" spans="1:1" x14ac:dyDescent="0.25">
      <c r="A124" s="31" t="str">
        <f>IF(BORRADO!K28="DELETE",CONCATENATE("RXMOE:MO=RXO",CONCATENATE("TRX-",BORRADO!C17,"-9"),";"),"NULL")</f>
        <v>RXMOE:MO=RXOTRX-113-9;</v>
      </c>
    </row>
    <row r="125" spans="1:1" x14ac:dyDescent="0.25">
      <c r="A125" s="31" t="str">
        <f>IF(BORRADO!K28="DELETE","","NULL")</f>
        <v/>
      </c>
    </row>
    <row r="126" spans="1:1" x14ac:dyDescent="0.25">
      <c r="A126" s="31" t="str">
        <f>IF(BORRADO!L28="DELETE",CONCATENATE("RXMOE:MO=RXO",CONCATENATE("TS-",BORRADO!C17,"-10-0&amp;&amp;-7"),";"),"NULL")</f>
        <v>RXMOE:MO=RXOTS-113-10-0&amp;&amp;-7;</v>
      </c>
    </row>
    <row r="127" spans="1:1" x14ac:dyDescent="0.25">
      <c r="A127" s="31" t="str">
        <f>IF(BORRADO!L28="DELETE",CONCATENATE("RXMOE:MO=RXO",CONCATENATE("TX-",BORRADO!C17,"-10"),";"),"NULL")</f>
        <v>RXMOE:MO=RXOTX-113-10;</v>
      </c>
    </row>
    <row r="128" spans="1:1" x14ac:dyDescent="0.25">
      <c r="A128" s="31" t="str">
        <f>IF(BORRADO!L28="DELETE",CONCATENATE("RXMOE:MO=RXO",CONCATENATE("RX-",BORRADO!C17,"-10"),";"),"NULL")</f>
        <v>RXMOE:MO=RXORX-113-10;</v>
      </c>
    </row>
    <row r="129" spans="1:1" x14ac:dyDescent="0.25">
      <c r="A129" s="31" t="str">
        <f>IF(BORRADO!L28="DELETE",CONCATENATE("RXMOE:MO=RXO",CONCATENATE("TRX-",BORRADO!C17,"-10"),";"),"NULL")</f>
        <v>RXMOE:MO=RXOTRX-113-10;</v>
      </c>
    </row>
    <row r="130" spans="1:1" x14ac:dyDescent="0.25">
      <c r="A130" s="31" t="str">
        <f>IF(BORRADO!L28="DELETE","","NULL")</f>
        <v/>
      </c>
    </row>
    <row r="131" spans="1:1" x14ac:dyDescent="0.25">
      <c r="A131" s="31" t="str">
        <f>IF(BORRADO!M28="DELETE",CONCATENATE("RXMOE:MO=RXO",CONCATENATE("TS-",BORRADO!C17,"-11-0&amp;&amp;-7"),";"),"NULL")</f>
        <v>NULL</v>
      </c>
    </row>
    <row r="132" spans="1:1" x14ac:dyDescent="0.25">
      <c r="A132" s="31" t="str">
        <f>IF(BORRADO!M28="DELETE",CONCATENATE("RXMOE:MO=RXO",CONCATENATE("TX-",BORRADO!C17,"-11"),";"),"NULL")</f>
        <v>NULL</v>
      </c>
    </row>
    <row r="133" spans="1:1" x14ac:dyDescent="0.25">
      <c r="A133" s="31" t="str">
        <f>IF(BORRADO!M28="DELETE",CONCATENATE("RXMOE:MO=RXO",CONCATENATE("RX-",BORRADO!C17,"-11"),";"),"NULL")</f>
        <v>NULL</v>
      </c>
    </row>
    <row r="134" spans="1:1" x14ac:dyDescent="0.25">
      <c r="A134" s="31" t="str">
        <f>IF(BORRADO!M28="DELETE",CONCATENATE("RXMOE:MO=RXO",CONCATENATE("TRX-",BORRADO!C17,"-11"),";"),"NULL")</f>
        <v>NULL</v>
      </c>
    </row>
    <row r="135" spans="1:1" x14ac:dyDescent="0.25">
      <c r="A135" s="31" t="str">
        <f>IF(BORRADO!M28="DELETE","","NULL")</f>
        <v>NULL</v>
      </c>
    </row>
    <row r="136" spans="1:1" x14ac:dyDescent="0.25">
      <c r="A136" s="31" t="str">
        <f>IF(BORRADO!B28="DELETE",CONCATENATE("RXMOE:MO=RXOMCTR-",BORRADO!C17,"-0;"))</f>
        <v>RXMOE:MO=RXOMCTR-113-0;</v>
      </c>
    </row>
    <row r="137" spans="1:1" x14ac:dyDescent="0.25">
      <c r="A137" s="31" t="str">
        <f>IF(BORRADO!F28="","NULL",CONCATENATE("RXMOE:MO=RXOMCTR-",BORRADO!C17,"-1;"))</f>
        <v>RXMOE:MO=RXOMCTR-113-1;</v>
      </c>
    </row>
    <row r="138" spans="1:1" x14ac:dyDescent="0.25">
      <c r="A138" s="31" t="str">
        <f>IF(BORRADO!J28="","NULL",CONCATENATE("RXMOE:MO=RXOMCTR-",BORRADO!C17,"-2;"))</f>
        <v>RXMOE:MO=RXOMCTR-113-2;</v>
      </c>
    </row>
    <row r="140" spans="1:1" x14ac:dyDescent="0.25">
      <c r="A140" s="31" t="str">
        <f>IF(BORRADO!C17="","NULL",CONCATENATE("RXMOE:MO=RXOCON-",BORRADO!C17,";"))</f>
        <v>RXMOE:MO=RXOCON-113;</v>
      </c>
    </row>
    <row r="141" spans="1:1" x14ac:dyDescent="0.25">
      <c r="A141" s="31" t="str">
        <f>IF(BORRADO!C17="","NULL",CONCATENATE("RXMOE:MO=RXOTF-",BORRADO!C17,";"))</f>
        <v>RXMOE:MO=RXOTF-113;</v>
      </c>
    </row>
    <row r="142" spans="1:1" x14ac:dyDescent="0.25">
      <c r="A142" s="31" t="str">
        <f>IF(BORRADO!C17="","NULL",CONCATENATE("RXMOE:MO=RXOIS-",BORRADO!C17,";"))</f>
        <v>RXMOE:MO=RXOIS-113;</v>
      </c>
    </row>
    <row r="143" spans="1:1" x14ac:dyDescent="0.25">
      <c r="A143" s="31" t="str">
        <f>IF(BORRADO!C17="","NULL",CONCATENATE("RXMOE:MO=RXOCF-",BORRADO!C17,";"))</f>
        <v>RXMOE:MO=RXOCF-113;</v>
      </c>
    </row>
    <row r="144" spans="1:1" x14ac:dyDescent="0.25">
      <c r="A144" s="31" t="str">
        <f>IF(BORRADO!C17="","NULL",CONCATENATE("RXMSP:MO=RXOTG-",BORRADO!C17,",SUBORD;"))</f>
        <v>RXMSP:MO=RXOTG-113,SUBORD;</v>
      </c>
    </row>
    <row r="146" spans="1:1" x14ac:dyDescent="0.25">
      <c r="A146" s="31" t="str">
        <f>IF(BORRADO!C17="","NULL",CONCATENATE("DTBLI:DIP=0ODP",BORRADO!C17,";"))</f>
        <v>DTBLI:DIP=0ODP113;</v>
      </c>
    </row>
    <row r="147" spans="1:1" x14ac:dyDescent="0.25">
      <c r="A147" s="31" t="str">
        <f>IF(BORRADO!C17="","NULL",CONCATENATE("DTDIE:DIP=0ODP",BORRADO!C17,";"))</f>
        <v>DTDIE:DIP=0ODP113;</v>
      </c>
    </row>
    <row r="148" spans="1:1" x14ac:dyDescent="0.25">
      <c r="A148" s="31" t="str">
        <f>IF(BORRADO!C17="","NULL",CONCATENATE("RXMOP:MO=RXODP-",BORRADO!C17,"-0;"))</f>
        <v>RXMOP:MO=RXODP-113-0;</v>
      </c>
    </row>
    <row r="149" spans="1:1" x14ac:dyDescent="0.25">
      <c r="A149" s="31" t="str">
        <f>IF(BORRADO!C17="","NULL",CONCATENATE("RXMOE:MO=RXODP-",BORRADO!C17,"-0;"))</f>
        <v>RXMOE:MO=RXODP-113-0;</v>
      </c>
    </row>
    <row r="151" spans="1:1" x14ac:dyDescent="0.25">
      <c r="A151" s="31" t="str">
        <f>IF(BORRADO!C17="","NULL",CONCATENATE("RXMOE:MO=RXOTG-",BORRADO!C17,";"))</f>
        <v>RXMOE:MO=RXOTG-113;</v>
      </c>
    </row>
    <row r="153" spans="1:1" x14ac:dyDescent="0.25">
      <c r="A153" s="31" t="str">
        <f>IF(BORRADO!C17="","NULL",CONCATENATE("RRSCE:SCGR=",BORRADO!C17,";"))</f>
        <v>RRSCE:SCGR=113;</v>
      </c>
    </row>
    <row r="154" spans="1:1" x14ac:dyDescent="0.25">
      <c r="A154" s="31" t="str">
        <f>IF(BORRADO!C17="","NULL",CONCATENATE("RRSGE:SCGR=",BORRADO!C17,";"))</f>
        <v>RRSGE:SCGR=113;</v>
      </c>
    </row>
    <row r="155" spans="1:1" x14ac:dyDescent="0.25">
      <c r="A155" s="31" t="str">
        <f>IF(BORRADO!C17="","NULL",CONCATENATE("RRPTE:PSTU=",BORRADO!C18,"-0;"))</f>
        <v>RRPTE:PSTU=TDM_BI926-0;</v>
      </c>
    </row>
    <row r="158" spans="1:1" x14ac:dyDescent="0.25">
      <c r="A158" s="31" t="s">
        <v>9</v>
      </c>
    </row>
    <row r="159" spans="1:1" x14ac:dyDescent="0.25">
      <c r="A159" s="31" t="s">
        <v>34</v>
      </c>
    </row>
    <row r="160" spans="1:1" x14ac:dyDescent="0.25">
      <c r="A160" s="31" t="s">
        <v>9</v>
      </c>
    </row>
    <row r="161" spans="1:1" x14ac:dyDescent="0.25">
      <c r="A161" s="31" t="s">
        <v>35</v>
      </c>
    </row>
    <row r="162" spans="1:1" x14ac:dyDescent="0.25">
      <c r="A162" s="31" t="str">
        <f>IF(BORRADO!C13="","NULL",CONCATENATE("RLDEE:CELL=",BORRADO!C13,";"))</f>
        <v>RLDEE:CELL=39264;</v>
      </c>
    </row>
    <row r="163" spans="1:1" x14ac:dyDescent="0.25">
      <c r="A163" s="31" t="str">
        <f>IF(BORRADO!C14="","NULL",CONCATENATE("RLDEE:CELL=",BORRADO!C14,";"))</f>
        <v>RLDEE:CELL=39265;</v>
      </c>
    </row>
    <row r="164" spans="1:1" x14ac:dyDescent="0.25">
      <c r="A164" s="31" t="str">
        <f>IF(BORRADO!C15="","NULL",CONCATENATE("RLDEE:CELL=",BORRADO!C15,";"))</f>
        <v>RLDEE:CELL=39266;</v>
      </c>
    </row>
    <row r="166" spans="1:1" x14ac:dyDescent="0.25">
      <c r="A166" s="31" t="s">
        <v>36</v>
      </c>
    </row>
    <row r="168" spans="1:1" x14ac:dyDescent="0.25">
      <c r="A168" s="31" t="s">
        <v>41</v>
      </c>
    </row>
    <row r="169" spans="1:1" x14ac:dyDescent="0.25">
      <c r="A169" s="31" t="s">
        <v>42</v>
      </c>
    </row>
    <row r="170" spans="1:1" x14ac:dyDescent="0.25">
      <c r="A170" s="31" t="s">
        <v>9</v>
      </c>
    </row>
    <row r="171" spans="1:1" x14ac:dyDescent="0.25">
      <c r="A171" s="31" t="s">
        <v>43</v>
      </c>
    </row>
    <row r="172" spans="1:1" x14ac:dyDescent="0.25">
      <c r="A172" s="31" t="s">
        <v>9</v>
      </c>
    </row>
    <row r="173" spans="1:1" x14ac:dyDescent="0.25">
      <c r="A173" s="31" t="str">
        <f>IF(BORRADO!I12="","NULL",CONCATENATE("MGCEE:CELL=",BORRADO!I12,";"))</f>
        <v>NULL</v>
      </c>
    </row>
    <row r="174" spans="1:1" x14ac:dyDescent="0.25">
      <c r="A174" s="31" t="str">
        <f>IF(BORRADO!J12="","NULL",CONCATENATE("MGZCE:ZC=",BORRADO!J12,",LOCNO=",BORRADO!K12,";"))</f>
        <v>NULL</v>
      </c>
    </row>
    <row r="175" spans="1:1" x14ac:dyDescent="0.25">
      <c r="A175" s="31" t="str">
        <f>IF(BORRADO!K12="","NULL",CONCATENATE("MGLNE:LOCNO=",BORRADO!K12,";"))</f>
        <v>NULL</v>
      </c>
    </row>
    <row r="176" spans="1:1" x14ac:dyDescent="0.25">
      <c r="A176" s="31" t="str">
        <f>IF(BORRADO!I13="","NULL",CONCATENATE("MGCEE:CELL=",BORRADO!I13,";"))</f>
        <v>NULL</v>
      </c>
    </row>
    <row r="177" spans="1:1" x14ac:dyDescent="0.25">
      <c r="A177" s="31" t="str">
        <f>IF(BORRADO!J13="","NULL",CONCATENATE("MGZCE:ZC=",BORRADO!J13,",LOCNO=",BORRADO!K13,";"))</f>
        <v>NULL</v>
      </c>
    </row>
    <row r="178" spans="1:1" x14ac:dyDescent="0.25">
      <c r="A178" s="31" t="str">
        <f>IF(BORRADO!K13="","NULL",CONCATENATE("MGLNE:LOCNO=",BORRADO!K13,";"))</f>
        <v>NULL</v>
      </c>
    </row>
    <row r="179" spans="1:1" x14ac:dyDescent="0.25">
      <c r="A179" s="31" t="str">
        <f>IF(BORRADO!I14="","NULL",CONCATENATE("MGCEE:CELL=",BORRADO!I14,";"))</f>
        <v>NULL</v>
      </c>
    </row>
    <row r="180" spans="1:1" x14ac:dyDescent="0.25">
      <c r="A180" s="31" t="str">
        <f>IF(BORRADO!J14="","NULL",CONCATENATE("MGZCE:ZC=",BORRADO!J14,",LOCNO=",BORRADO!K14,";"))</f>
        <v>NULL</v>
      </c>
    </row>
    <row r="181" spans="1:1" x14ac:dyDescent="0.25">
      <c r="A181" s="31" t="str">
        <f>IF(BORRADO!K14="","NULL",CONCATENATE("MGLNE:LOCNO=",BORRADO!K14,";"))</f>
        <v>NULL</v>
      </c>
    </row>
    <row r="182" spans="1:1" x14ac:dyDescent="0.25">
      <c r="A182" s="31" t="s">
        <v>36</v>
      </c>
    </row>
    <row r="184" spans="1:1" x14ac:dyDescent="0.25">
      <c r="A184" s="31" t="s">
        <v>44</v>
      </c>
    </row>
    <row r="185" spans="1:1" x14ac:dyDescent="0.25">
      <c r="A185" s="31" t="s">
        <v>42</v>
      </c>
    </row>
    <row r="186" spans="1:1" x14ac:dyDescent="0.25">
      <c r="A186" s="31" t="s">
        <v>9</v>
      </c>
    </row>
    <row r="187" spans="1:1" x14ac:dyDescent="0.25">
      <c r="A187" s="31" t="s">
        <v>45</v>
      </c>
    </row>
    <row r="188" spans="1:1" x14ac:dyDescent="0.25">
      <c r="A188" s="31" t="s">
        <v>9</v>
      </c>
    </row>
    <row r="189" spans="1:1" x14ac:dyDescent="0.25">
      <c r="A189" s="31" t="str">
        <f>IF(BORRADO!I12="","NULL",CONCATENATE("MGCEE:CELL=",BORRADO!I12,";"))</f>
        <v>NULL</v>
      </c>
    </row>
    <row r="190" spans="1:1" x14ac:dyDescent="0.25">
      <c r="A190" s="31" t="str">
        <f>IF(BORRADO!J12="","NULL",CONCATENATE("MGZCE:ZC=",BORRADO!J12,",LOCNO=",BORRADO!K12,";"))</f>
        <v>NULL</v>
      </c>
    </row>
    <row r="191" spans="1:1" x14ac:dyDescent="0.25">
      <c r="A191" s="31" t="str">
        <f>IF(BORRADO!K12="","NULL",CONCATENATE("MGLNE:LOCNO=",BORRADO!K12,";"))</f>
        <v>NULL</v>
      </c>
    </row>
    <row r="192" spans="1:1" x14ac:dyDescent="0.25">
      <c r="A192" s="31" t="str">
        <f>IF(BORRADO!I13="","NULL",CONCATENATE("MGCEE:CELL=",BORRADO!I13,";"))</f>
        <v>NULL</v>
      </c>
    </row>
    <row r="193" spans="1:1" x14ac:dyDescent="0.25">
      <c r="A193" s="31" t="str">
        <f>IF(BORRADO!J13="","NULL",CONCATENATE("MGZCE:ZC=",BORRADO!J13,",LOCNO=",BORRADO!K13,";"))</f>
        <v>NULL</v>
      </c>
    </row>
    <row r="194" spans="1:1" x14ac:dyDescent="0.25">
      <c r="A194" s="31" t="str">
        <f>IF(BORRADO!K13="","NULL",CONCATENATE("MGLNE:LOCNO=",BORRADO!K13,";"))</f>
        <v>NULL</v>
      </c>
    </row>
    <row r="195" spans="1:1" x14ac:dyDescent="0.25">
      <c r="A195" s="31" t="str">
        <f>IF(BORRADO!I14="","NULL",CONCATENATE("MGCEE:CELL=",BORRADO!I14,";"))</f>
        <v>NULL</v>
      </c>
    </row>
    <row r="196" spans="1:1" x14ac:dyDescent="0.25">
      <c r="A196" s="31" t="str">
        <f>IF(BORRADO!J14="","NULL",CONCATENATE("MGZCE:ZC=",BORRADO!J14,",LOCNO=",BORRADO!K14,";"))</f>
        <v>NULL</v>
      </c>
    </row>
    <row r="197" spans="1:1" x14ac:dyDescent="0.25">
      <c r="A197" s="31" t="str">
        <f>IF(BORRADO!K14="","NULL",CONCATENATE("MGLNE:LOCNO=",BORRADO!K14,";"))</f>
        <v>NULL</v>
      </c>
    </row>
    <row r="198" spans="1:1" x14ac:dyDescent="0.25">
      <c r="A198" s="31" t="s">
        <v>36</v>
      </c>
    </row>
    <row r="200" spans="1:1" x14ac:dyDescent="0.25">
      <c r="A200" s="31" t="s">
        <v>46</v>
      </c>
    </row>
    <row r="201" spans="1:1" x14ac:dyDescent="0.25">
      <c r="A201" s="31" t="s">
        <v>42</v>
      </c>
    </row>
    <row r="202" spans="1:1" x14ac:dyDescent="0.25">
      <c r="A202" s="31" t="s">
        <v>9</v>
      </c>
    </row>
    <row r="203" spans="1:1" x14ac:dyDescent="0.25">
      <c r="A203" s="31" t="s">
        <v>47</v>
      </c>
    </row>
    <row r="204" spans="1:1" x14ac:dyDescent="0.25">
      <c r="A204" s="31" t="s">
        <v>9</v>
      </c>
    </row>
    <row r="205" spans="1:1" x14ac:dyDescent="0.25">
      <c r="A205" s="31" t="str">
        <f>IF(BORRADO!I12="","NULL",CONCATENATE("MGCEE:CELL=",BORRADO!I12,";"))</f>
        <v>NULL</v>
      </c>
    </row>
    <row r="206" spans="1:1" x14ac:dyDescent="0.25">
      <c r="A206" s="31" t="str">
        <f>IF(BORRADO!J12="","NULL",CONCATENATE("MGZCE:ZC=",BORRADO!J12,",LOCNO=",BORRADO!K12,";"))</f>
        <v>NULL</v>
      </c>
    </row>
    <row r="207" spans="1:1" x14ac:dyDescent="0.25">
      <c r="A207" s="31" t="str">
        <f>IF(BORRADO!K12="","NULL",CONCATENATE("MGLNE:LOCNO=",BORRADO!K12,";"))</f>
        <v>NULL</v>
      </c>
    </row>
    <row r="208" spans="1:1" x14ac:dyDescent="0.25">
      <c r="A208" s="31" t="str">
        <f>IF(BORRADO!I13="","NULL",CONCATENATE("MGCEE:CELL=",BORRADO!I13,";"))</f>
        <v>NULL</v>
      </c>
    </row>
    <row r="209" spans="1:1" x14ac:dyDescent="0.25">
      <c r="A209" s="31" t="str">
        <f>IF(BORRADO!J13="","NULL",CONCATENATE("MGZCE:ZC=",BORRADO!J13,",LOCNO=",BORRADO!K13,";"))</f>
        <v>NULL</v>
      </c>
    </row>
    <row r="210" spans="1:1" x14ac:dyDescent="0.25">
      <c r="A210" s="31" t="str">
        <f>IF(BORRADO!K13="","NULL",CONCATENATE("MGLNE:LOCNO=",BORRADO!K13,";"))</f>
        <v>NULL</v>
      </c>
    </row>
    <row r="211" spans="1:1" x14ac:dyDescent="0.25">
      <c r="A211" s="31" t="str">
        <f>IF(BORRADO!I14="","NULL",CONCATENATE("MGCEE:CELL=",BORRADO!I14,";"))</f>
        <v>NULL</v>
      </c>
    </row>
    <row r="212" spans="1:1" x14ac:dyDescent="0.25">
      <c r="A212" s="31" t="str">
        <f>IF(BORRADO!J14="","NULL",CONCATENATE("MGZCE:ZC=",BORRADO!J14,",LOCNO=",BORRADO!K14,";"))</f>
        <v>NULL</v>
      </c>
    </row>
    <row r="213" spans="1:1" x14ac:dyDescent="0.25">
      <c r="A213" s="31" t="str">
        <f>IF(BORRADO!K14="","NULL",CONCATENATE("MGLNE:LOCNO=",BORRADO!K14,";"))</f>
        <v>NULL</v>
      </c>
    </row>
    <row r="214" spans="1:1" x14ac:dyDescent="0.25">
      <c r="A214" s="31" t="s">
        <v>36</v>
      </c>
    </row>
    <row r="216" spans="1:1" x14ac:dyDescent="0.25">
      <c r="A216" s="31" t="s">
        <v>48</v>
      </c>
    </row>
    <row r="217" spans="1:1" x14ac:dyDescent="0.25">
      <c r="A217" s="31" t="s">
        <v>42</v>
      </c>
    </row>
    <row r="218" spans="1:1" x14ac:dyDescent="0.25">
      <c r="A218" s="31" t="s">
        <v>9</v>
      </c>
    </row>
    <row r="219" spans="1:1" x14ac:dyDescent="0.25">
      <c r="A219" s="31" t="s">
        <v>49</v>
      </c>
    </row>
    <row r="220" spans="1:1" x14ac:dyDescent="0.25">
      <c r="A220" s="31" t="s">
        <v>9</v>
      </c>
    </row>
    <row r="221" spans="1:1" x14ac:dyDescent="0.25">
      <c r="A221" s="31" t="str">
        <f>IF(BORRADO!I12="","NULL",CONCATENATE("MGCEE:CELL=",BORRADO!I12,";"))</f>
        <v>NULL</v>
      </c>
    </row>
    <row r="222" spans="1:1" x14ac:dyDescent="0.25">
      <c r="A222" s="31" t="str">
        <f>IF(BORRADO!J12="","NULL",CONCATENATE("MGZCE:ZC=",BORRADO!J12,",LOCNO=",BORRADO!K12,";"))</f>
        <v>NULL</v>
      </c>
    </row>
    <row r="223" spans="1:1" x14ac:dyDescent="0.25">
      <c r="A223" s="31" t="str">
        <f>IF(BORRADO!K12="","NULL",CONCATENATE("MGLNE:LOCNO=",BORRADO!K12,";"))</f>
        <v>NULL</v>
      </c>
    </row>
    <row r="224" spans="1:1" x14ac:dyDescent="0.25">
      <c r="A224" s="31" t="str">
        <f>IF(BORRADO!I13="","NULL",CONCATENATE("MGCEE:CELL=",BORRADO!I13,";"))</f>
        <v>NULL</v>
      </c>
    </row>
    <row r="225" spans="1:1" x14ac:dyDescent="0.25">
      <c r="A225" s="31" t="str">
        <f>IF(BORRADO!J13="","NULL",CONCATENATE("MGZCE:ZC=",BORRADO!J13,",LOCNO=",BORRADO!K13,";"))</f>
        <v>NULL</v>
      </c>
    </row>
    <row r="226" spans="1:1" x14ac:dyDescent="0.25">
      <c r="A226" s="31" t="str">
        <f>IF(BORRADO!K13="","NULL",CONCATENATE("MGLNE:LOCNO=",BORRADO!K13,";"))</f>
        <v>NULL</v>
      </c>
    </row>
    <row r="227" spans="1:1" x14ac:dyDescent="0.25">
      <c r="A227" s="31" t="str">
        <f>IF(BORRADO!I14="","NULL",CONCATENATE("MGCEE:CELL=",BORRADO!I14,";"))</f>
        <v>NULL</v>
      </c>
    </row>
    <row r="228" spans="1:1" x14ac:dyDescent="0.25">
      <c r="A228" s="31" t="str">
        <f>IF(BORRADO!J14="","NULL",CONCATENATE("MGZCE:ZC=",BORRADO!J14,",LOCNO=",BORRADO!K14,";"))</f>
        <v>NULL</v>
      </c>
    </row>
    <row r="229" spans="1:1" x14ac:dyDescent="0.25">
      <c r="A229" s="31" t="str">
        <f>IF(BORRADO!K14="","NULL",CONCATENATE("MGLNE:LOCNO=",BORRADO!K14,";"))</f>
        <v>NULL</v>
      </c>
    </row>
    <row r="230" spans="1:1" x14ac:dyDescent="0.25">
      <c r="A230" s="31" t="s">
        <v>36</v>
      </c>
    </row>
    <row r="232" spans="1:1" x14ac:dyDescent="0.25">
      <c r="A232" s="31" t="s">
        <v>50</v>
      </c>
    </row>
    <row r="233" spans="1:1" x14ac:dyDescent="0.25">
      <c r="A233" s="31" t="s">
        <v>42</v>
      </c>
    </row>
    <row r="234" spans="1:1" x14ac:dyDescent="0.25">
      <c r="A234" s="31" t="s">
        <v>9</v>
      </c>
    </row>
    <row r="235" spans="1:1" x14ac:dyDescent="0.25">
      <c r="A235" s="31" t="s">
        <v>51</v>
      </c>
    </row>
    <row r="236" spans="1:1" x14ac:dyDescent="0.25">
      <c r="A236" s="31" t="s">
        <v>9</v>
      </c>
    </row>
    <row r="237" spans="1:1" x14ac:dyDescent="0.25">
      <c r="A237" s="31" t="str">
        <f>IF(BORRADO!I12="","NULL",CONCATENATE("MGCEE:CELL=",BORRADO!I12,";"))</f>
        <v>NULL</v>
      </c>
    </row>
    <row r="238" spans="1:1" x14ac:dyDescent="0.25">
      <c r="A238" s="31" t="str">
        <f>IF(BORRADO!J12="","NULL",CONCATENATE("MGZCE:ZC=",BORRADO!J12,",LOCNO=",BORRADO!K12,";"))</f>
        <v>NULL</v>
      </c>
    </row>
    <row r="239" spans="1:1" x14ac:dyDescent="0.25">
      <c r="A239" s="31" t="str">
        <f>IF(BORRADO!K12="","NULL",CONCATENATE("MGLNE:LOCNO=",BORRADO!K12,";"))</f>
        <v>NULL</v>
      </c>
    </row>
    <row r="240" spans="1:1" x14ac:dyDescent="0.25">
      <c r="A240" s="31" t="str">
        <f>IF(BORRADO!I13="","NULL",CONCATENATE("MGCEE:CELL=",BORRADO!I13,";"))</f>
        <v>NULL</v>
      </c>
    </row>
    <row r="241" spans="1:1" x14ac:dyDescent="0.25">
      <c r="A241" s="31" t="str">
        <f>IF(BORRADO!J13="","NULL",CONCATENATE("MGZCE:ZC=",BORRADO!J13,",LOCNO=",BORRADO!K13,";"))</f>
        <v>NULL</v>
      </c>
    </row>
    <row r="242" spans="1:1" x14ac:dyDescent="0.25">
      <c r="A242" s="31" t="str">
        <f>IF(BORRADO!K13="","NULL",CONCATENATE("MGLNE:LOCNO=",BORRADO!K13,";"))</f>
        <v>NULL</v>
      </c>
    </row>
    <row r="243" spans="1:1" x14ac:dyDescent="0.25">
      <c r="A243" s="31" t="str">
        <f>IF(BORRADO!I14="","NULL",CONCATENATE("MGCEE:CELL=",BORRADO!I14,";"))</f>
        <v>NULL</v>
      </c>
    </row>
    <row r="244" spans="1:1" x14ac:dyDescent="0.25">
      <c r="A244" s="31" t="str">
        <f>IF(BORRADO!J14="","NULL",CONCATENATE("MGZCE:ZC=",BORRADO!J14,",LOCNO=",BORRADO!K14,";"))</f>
        <v>NULL</v>
      </c>
    </row>
    <row r="245" spans="1:1" x14ac:dyDescent="0.25">
      <c r="A245" s="31" t="str">
        <f>IF(BORRADO!K14="","NULL",CONCATENATE("MGLNE:LOCNO=",BORRADO!K14,";"))</f>
        <v>NULL</v>
      </c>
    </row>
    <row r="246" spans="1:1" x14ac:dyDescent="0.25">
      <c r="A246" s="31" t="s">
        <v>36</v>
      </c>
    </row>
    <row r="248" spans="1:1" x14ac:dyDescent="0.25">
      <c r="A248" s="31" t="s">
        <v>52</v>
      </c>
    </row>
    <row r="249" spans="1:1" x14ac:dyDescent="0.25">
      <c r="A249" s="31" t="s">
        <v>42</v>
      </c>
    </row>
    <row r="250" spans="1:1" x14ac:dyDescent="0.25">
      <c r="A250" s="31" t="s">
        <v>9</v>
      </c>
    </row>
    <row r="251" spans="1:1" x14ac:dyDescent="0.25">
      <c r="A251" s="31" t="s">
        <v>53</v>
      </c>
    </row>
    <row r="252" spans="1:1" x14ac:dyDescent="0.25">
      <c r="A252" s="31" t="s">
        <v>9</v>
      </c>
    </row>
    <row r="253" spans="1:1" x14ac:dyDescent="0.25">
      <c r="A253" s="31" t="str">
        <f>IF(BORRADO!I12="","NULL",CONCATENATE("MGCEE:CELL=",BORRADO!I12,";"))</f>
        <v>NULL</v>
      </c>
    </row>
    <row r="254" spans="1:1" x14ac:dyDescent="0.25">
      <c r="A254" s="31" t="str">
        <f>IF(BORRADO!J12="","NULL",CONCATENATE("MGZCE:ZC=",BORRADO!J12,",LOCNO=",BORRADO!K12,";"))</f>
        <v>NULL</v>
      </c>
    </row>
    <row r="255" spans="1:1" x14ac:dyDescent="0.25">
      <c r="A255" s="31" t="str">
        <f>IF(BORRADO!K12="","NULL",CONCATENATE("MGLNE:LOCNO=",BORRADO!K12,";"))</f>
        <v>NULL</v>
      </c>
    </row>
    <row r="256" spans="1:1" x14ac:dyDescent="0.25">
      <c r="A256" s="31" t="str">
        <f>IF(BORRADO!I13="","NULL",CONCATENATE("MGCEE:CELL=",BORRADO!I13,";"))</f>
        <v>NULL</v>
      </c>
    </row>
    <row r="257" spans="1:1" x14ac:dyDescent="0.25">
      <c r="A257" s="31" t="str">
        <f>IF(BORRADO!J13="","NULL",CONCATENATE("MGZCE:ZC=",BORRADO!J13,",LOCNO=",BORRADO!K13,";"))</f>
        <v>NULL</v>
      </c>
    </row>
    <row r="258" spans="1:1" x14ac:dyDescent="0.25">
      <c r="A258" s="31" t="str">
        <f>IF(BORRADO!K13="","NULL",CONCATENATE("MGLNE:LOCNO=",BORRADO!K13,";"))</f>
        <v>NULL</v>
      </c>
    </row>
    <row r="259" spans="1:1" x14ac:dyDescent="0.25">
      <c r="A259" s="31" t="str">
        <f>IF(BORRADO!I14="","NULL",CONCATENATE("MGCEE:CELL=",BORRADO!I14,";"))</f>
        <v>NULL</v>
      </c>
    </row>
    <row r="260" spans="1:1" x14ac:dyDescent="0.25">
      <c r="A260" s="31" t="str">
        <f>IF(BORRADO!J14="","NULL",CONCATENATE("MGZCE:ZC=",BORRADO!J14,",LOCNO=",BORRADO!K14,";"))</f>
        <v>NULL</v>
      </c>
    </row>
    <row r="261" spans="1:1" x14ac:dyDescent="0.25">
      <c r="A261" s="31" t="str">
        <f>IF(BORRADO!K14="","NULL",CONCATENATE("MGLNE:LOCNO=",BORRADO!K14,";"))</f>
        <v>NULL</v>
      </c>
    </row>
    <row r="262" spans="1:1" x14ac:dyDescent="0.25">
      <c r="A262" s="31" t="s">
        <v>36</v>
      </c>
    </row>
    <row r="264" spans="1:1" x14ac:dyDescent="0.25">
      <c r="A264" s="31" t="s">
        <v>54</v>
      </c>
    </row>
    <row r="265" spans="1:1" x14ac:dyDescent="0.25">
      <c r="A265" s="31" t="s">
        <v>42</v>
      </c>
    </row>
    <row r="266" spans="1:1" x14ac:dyDescent="0.25">
      <c r="A266" s="31" t="s">
        <v>9</v>
      </c>
    </row>
    <row r="267" spans="1:1" x14ac:dyDescent="0.25">
      <c r="A267" s="31" t="s">
        <v>55</v>
      </c>
    </row>
    <row r="268" spans="1:1" x14ac:dyDescent="0.25">
      <c r="A268" s="31" t="s">
        <v>9</v>
      </c>
    </row>
    <row r="269" spans="1:1" x14ac:dyDescent="0.25">
      <c r="A269" s="31" t="str">
        <f>IF(BORRADO!I12="","NULL",CONCATENATE("MGCEE:CELL=",BORRADO!I12,";"))</f>
        <v>NULL</v>
      </c>
    </row>
    <row r="270" spans="1:1" x14ac:dyDescent="0.25">
      <c r="A270" s="31" t="str">
        <f>IF(BORRADO!J12="","NULL",CONCATENATE("MGZCE:ZC=",BORRADO!J12,",LOCNO=",BORRADO!K12,";"))</f>
        <v>NULL</v>
      </c>
    </row>
    <row r="271" spans="1:1" x14ac:dyDescent="0.25">
      <c r="A271" s="31" t="str">
        <f>IF(BORRADO!K12="","NULL",CONCATENATE("MGLNE:LOCNO=",BORRADO!K12,";"))</f>
        <v>NULL</v>
      </c>
    </row>
    <row r="272" spans="1:1" x14ac:dyDescent="0.25">
      <c r="A272" s="31" t="str">
        <f>IF(BORRADO!I13="","NULL",CONCATENATE("MGCEE:CELL=",BORRADO!I13,";"))</f>
        <v>NULL</v>
      </c>
    </row>
    <row r="273" spans="1:1" x14ac:dyDescent="0.25">
      <c r="A273" s="31" t="str">
        <f>IF(BORRADO!J13="","NULL",CONCATENATE("MGZCE:ZC=",BORRADO!J13,",LOCNO=",BORRADO!K13,";"))</f>
        <v>NULL</v>
      </c>
    </row>
    <row r="274" spans="1:1" x14ac:dyDescent="0.25">
      <c r="A274" s="31" t="str">
        <f>IF(BORRADO!K13="","NULL",CONCATENATE("MGLNE:LOCNO=",BORRADO!K13,";"))</f>
        <v>NULL</v>
      </c>
    </row>
    <row r="275" spans="1:1" x14ac:dyDescent="0.25">
      <c r="A275" s="31" t="str">
        <f>IF(BORRADO!I14="","NULL",CONCATENATE("MGCEE:CELL=",BORRADO!I14,";"))</f>
        <v>NULL</v>
      </c>
    </row>
    <row r="276" spans="1:1" x14ac:dyDescent="0.25">
      <c r="A276" s="31" t="str">
        <f>IF(BORRADO!J14="","NULL",CONCATENATE("MGZCE:ZC=",BORRADO!J14,",LOCNO=",BORRADO!K14,";"))</f>
        <v>NULL</v>
      </c>
    </row>
    <row r="277" spans="1:1" x14ac:dyDescent="0.25">
      <c r="A277" s="31" t="str">
        <f>IF(BORRADO!K14="","NULL",CONCATENATE("MGLNE:LOCNO=",BORRADO!K14,";"))</f>
        <v>NULL</v>
      </c>
    </row>
    <row r="278" spans="1:1" x14ac:dyDescent="0.25">
      <c r="A278" s="31" t="s">
        <v>36</v>
      </c>
    </row>
    <row r="280" spans="1:1" x14ac:dyDescent="0.25">
      <c r="A280" s="31" t="s">
        <v>56</v>
      </c>
    </row>
    <row r="281" spans="1:1" x14ac:dyDescent="0.25">
      <c r="A281" s="31" t="s">
        <v>42</v>
      </c>
    </row>
    <row r="282" spans="1:1" x14ac:dyDescent="0.25">
      <c r="A282" s="31" t="s">
        <v>9</v>
      </c>
    </row>
    <row r="283" spans="1:1" x14ac:dyDescent="0.25">
      <c r="A283" s="31" t="s">
        <v>57</v>
      </c>
    </row>
    <row r="284" spans="1:1" x14ac:dyDescent="0.25">
      <c r="A284" s="31" t="s">
        <v>9</v>
      </c>
    </row>
    <row r="285" spans="1:1" x14ac:dyDescent="0.25">
      <c r="A285" s="31" t="str">
        <f>IF(BORRADO!I12="","NULL",CONCATENATE("MGCEE:CELL=",BORRADO!I12,";"))</f>
        <v>NULL</v>
      </c>
    </row>
    <row r="286" spans="1:1" x14ac:dyDescent="0.25">
      <c r="A286" s="31" t="str">
        <f>IF(BORRADO!J12="","NULL",CONCATENATE("MGZCE:ZC=",BORRADO!J12,",LOCNO=",BORRADO!K12,";"))</f>
        <v>NULL</v>
      </c>
    </row>
    <row r="287" spans="1:1" x14ac:dyDescent="0.25">
      <c r="A287" s="31" t="str">
        <f>IF(BORRADO!K12="","NULL",CONCATENATE("MGLNE:LOCNO=",BORRADO!K12,";"))</f>
        <v>NULL</v>
      </c>
    </row>
    <row r="288" spans="1:1" x14ac:dyDescent="0.25">
      <c r="A288" s="31" t="str">
        <f>IF(BORRADO!I13="","NULL",CONCATENATE("MGCEE:CELL=",BORRADO!I13,";"))</f>
        <v>NULL</v>
      </c>
    </row>
    <row r="289" spans="1:1" x14ac:dyDescent="0.25">
      <c r="A289" s="31" t="str">
        <f>IF(BORRADO!J13="","NULL",CONCATENATE("MGZCE:ZC=",BORRADO!J13,",LOCNO=",BORRADO!K13,";"))</f>
        <v>NULL</v>
      </c>
    </row>
    <row r="290" spans="1:1" x14ac:dyDescent="0.25">
      <c r="A290" s="31" t="str">
        <f>IF(BORRADO!K13="","NULL",CONCATENATE("MGLNE:LOCNO=",BORRADO!K13,";"))</f>
        <v>NULL</v>
      </c>
    </row>
    <row r="291" spans="1:1" x14ac:dyDescent="0.25">
      <c r="A291" s="31" t="str">
        <f>IF(BORRADO!I14="","NULL",CONCATENATE("MGCEE:CELL=",BORRADO!I14,";"))</f>
        <v>NULL</v>
      </c>
    </row>
    <row r="292" spans="1:1" x14ac:dyDescent="0.25">
      <c r="A292" s="31" t="str">
        <f>IF(BORRADO!J14="","NULL",CONCATENATE("MGZCE:ZC=",BORRADO!J14,",LOCNO=",BORRADO!K14,";"))</f>
        <v>NULL</v>
      </c>
    </row>
    <row r="293" spans="1:1" x14ac:dyDescent="0.25">
      <c r="A293" s="31" t="str">
        <f>IF(BORRADO!K14="","NULL",CONCATENATE("MGLNE:LOCNO=",BORRADO!K14,";"))</f>
        <v>NULL</v>
      </c>
    </row>
    <row r="294" spans="1:1" x14ac:dyDescent="0.25">
      <c r="A294" s="31" t="s">
        <v>36</v>
      </c>
    </row>
    <row r="296" spans="1:1" x14ac:dyDescent="0.25">
      <c r="A296" s="31" t="s">
        <v>58</v>
      </c>
    </row>
    <row r="297" spans="1:1" x14ac:dyDescent="0.25">
      <c r="A297" s="31" t="s">
        <v>42</v>
      </c>
    </row>
    <row r="298" spans="1:1" x14ac:dyDescent="0.25">
      <c r="A298" s="31" t="s">
        <v>9</v>
      </c>
    </row>
    <row r="299" spans="1:1" x14ac:dyDescent="0.25">
      <c r="A299" s="31" t="s">
        <v>59</v>
      </c>
    </row>
    <row r="300" spans="1:1" x14ac:dyDescent="0.25">
      <c r="A300" s="31" t="s">
        <v>9</v>
      </c>
    </row>
    <row r="301" spans="1:1" x14ac:dyDescent="0.25">
      <c r="A301" s="31" t="str">
        <f>IF(BORRADO!I12="","NULL",CONCATENATE("MGCEE:CELL=",BORRADO!I12,";"))</f>
        <v>NULL</v>
      </c>
    </row>
    <row r="302" spans="1:1" x14ac:dyDescent="0.25">
      <c r="A302" s="31" t="str">
        <f>IF(BORRADO!J12="","NULL",CONCATENATE("MGZCE:ZC=",BORRADO!J12,",LOCNO=",BORRADO!K12,";"))</f>
        <v>NULL</v>
      </c>
    </row>
    <row r="303" spans="1:1" x14ac:dyDescent="0.25">
      <c r="A303" s="31" t="str">
        <f>IF(BORRADO!K12="","NULL",CONCATENATE("MGLNE:LOCNO=",BORRADO!K12,";"))</f>
        <v>NULL</v>
      </c>
    </row>
    <row r="304" spans="1:1" x14ac:dyDescent="0.25">
      <c r="A304" s="31" t="str">
        <f>IF(BORRADO!I13="","NULL",CONCATENATE("MGCEE:CELL=",BORRADO!I13,";"))</f>
        <v>NULL</v>
      </c>
    </row>
    <row r="305" spans="1:1" x14ac:dyDescent="0.25">
      <c r="A305" s="31" t="str">
        <f>IF(BORRADO!J13="","NULL",CONCATENATE("MGZCE:ZC=",BORRADO!J13,",LOCNO=",BORRADO!K13,";"))</f>
        <v>NULL</v>
      </c>
    </row>
    <row r="306" spans="1:1" x14ac:dyDescent="0.25">
      <c r="A306" s="31" t="str">
        <f>IF(BORRADO!K13="","NULL",CONCATENATE("MGLNE:LOCNO=",BORRADO!K13,";"))</f>
        <v>NULL</v>
      </c>
    </row>
    <row r="307" spans="1:1" x14ac:dyDescent="0.25">
      <c r="A307" s="31" t="str">
        <f>IF(BORRADO!I14="","NULL",CONCATENATE("MGCEE:CELL=",BORRADO!I14,";"))</f>
        <v>NULL</v>
      </c>
    </row>
    <row r="308" spans="1:1" x14ac:dyDescent="0.25">
      <c r="A308" s="31" t="str">
        <f>IF(BORRADO!J14="","NULL",CONCATENATE("MGZCE:ZC=",BORRADO!J14,",LOCNO=",BORRADO!K14,";"))</f>
        <v>NULL</v>
      </c>
    </row>
    <row r="309" spans="1:1" x14ac:dyDescent="0.25">
      <c r="A309" s="31" t="str">
        <f>IF(BORRADO!K14="","NULL",CONCATENATE("MGLNE:LOCNO=",BORRADO!K14,";"))</f>
        <v>NULL</v>
      </c>
    </row>
    <row r="310" spans="1:1" x14ac:dyDescent="0.25">
      <c r="A310" s="31" t="s">
        <v>36</v>
      </c>
    </row>
    <row r="312" spans="1:1" x14ac:dyDescent="0.25">
      <c r="A312" s="31" t="s">
        <v>60</v>
      </c>
    </row>
    <row r="313" spans="1:1" x14ac:dyDescent="0.25">
      <c r="A313" s="31" t="s">
        <v>42</v>
      </c>
    </row>
    <row r="314" spans="1:1" x14ac:dyDescent="0.25">
      <c r="A314" s="31" t="s">
        <v>9</v>
      </c>
    </row>
    <row r="315" spans="1:1" x14ac:dyDescent="0.25">
      <c r="A315" s="31" t="s">
        <v>61</v>
      </c>
    </row>
    <row r="316" spans="1:1" x14ac:dyDescent="0.25">
      <c r="A316" s="31" t="s">
        <v>9</v>
      </c>
    </row>
    <row r="317" spans="1:1" x14ac:dyDescent="0.25">
      <c r="A317" s="31" t="str">
        <f>IF(BORRADO!I12="","NULL",CONCATENATE("MGCEE:CELL=",BORRADO!I12,";"))</f>
        <v>NULL</v>
      </c>
    </row>
    <row r="318" spans="1:1" x14ac:dyDescent="0.25">
      <c r="A318" s="31" t="str">
        <f>IF(BORRADO!J12="","NULL",CONCATENATE("MGZCE:ZC=",BORRADO!J12,",LOCNO=",BORRADO!K12,";"))</f>
        <v>NULL</v>
      </c>
    </row>
    <row r="319" spans="1:1" x14ac:dyDescent="0.25">
      <c r="A319" s="31" t="str">
        <f>IF(BORRADO!K12="","NULL",CONCATENATE("MGLNE:LOCNO=",BORRADO!K12,";"))</f>
        <v>NULL</v>
      </c>
    </row>
    <row r="320" spans="1:1" x14ac:dyDescent="0.25">
      <c r="A320" s="31" t="str">
        <f>IF(BORRADO!I13="","NULL",CONCATENATE("MGCEE:CELL=",BORRADO!I13,";"))</f>
        <v>NULL</v>
      </c>
    </row>
    <row r="321" spans="1:1" x14ac:dyDescent="0.25">
      <c r="A321" s="31" t="str">
        <f>IF(BORRADO!J13="","NULL",CONCATENATE("MGZCE:ZC=",BORRADO!J13,",LOCNO=",BORRADO!K13,";"))</f>
        <v>NULL</v>
      </c>
    </row>
    <row r="322" spans="1:1" x14ac:dyDescent="0.25">
      <c r="A322" s="31" t="str">
        <f>IF(BORRADO!K13="","NULL",CONCATENATE("MGLNE:LOCNO=",BORRADO!K13,";"))</f>
        <v>NULL</v>
      </c>
    </row>
    <row r="323" spans="1:1" x14ac:dyDescent="0.25">
      <c r="A323" s="31" t="str">
        <f>IF(BORRADO!I14="","NULL",CONCATENATE("MGCEE:CELL=",BORRADO!I14,";"))</f>
        <v>NULL</v>
      </c>
    </row>
    <row r="324" spans="1:1" x14ac:dyDescent="0.25">
      <c r="A324" s="31" t="str">
        <f>IF(BORRADO!J14="","NULL",CONCATENATE("MGZCE:ZC=",BORRADO!J14,",LOCNO=",BORRADO!K14,";"))</f>
        <v>NULL</v>
      </c>
    </row>
    <row r="325" spans="1:1" x14ac:dyDescent="0.25">
      <c r="A325" s="31" t="str">
        <f>IF(BORRADO!K14="","NULL",CONCATENATE("MGLNE:LOCNO=",BORRADO!K14,";"))</f>
        <v>NULL</v>
      </c>
    </row>
    <row r="326" spans="1:1" x14ac:dyDescent="0.25">
      <c r="A326" s="31" t="s">
        <v>36</v>
      </c>
    </row>
    <row r="329" spans="1:1" x14ac:dyDescent="0.25">
      <c r="A329" s="31" t="str">
        <f>CONCATENATE("eaw ",BORRADO!C11,";")</f>
        <v>eaw TAB01;</v>
      </c>
    </row>
    <row r="330" spans="1:1" x14ac:dyDescent="0.25">
      <c r="A330" s="31" t="s">
        <v>42</v>
      </c>
    </row>
    <row r="331" spans="1:1" x14ac:dyDescent="0.25">
      <c r="A331" s="31" t="s">
        <v>9</v>
      </c>
    </row>
    <row r="332" spans="1:1" x14ac:dyDescent="0.25">
      <c r="A332" s="31" t="s">
        <v>16</v>
      </c>
    </row>
    <row r="333" spans="1:1" x14ac:dyDescent="0.25">
      <c r="A333" s="31" t="s">
        <v>9</v>
      </c>
    </row>
    <row r="334" spans="1:1" x14ac:dyDescent="0.25">
      <c r="A334" s="31" t="s">
        <v>62</v>
      </c>
    </row>
    <row r="336" spans="1:1" x14ac:dyDescent="0.25">
      <c r="A336" s="31" t="s">
        <v>36</v>
      </c>
    </row>
    <row r="337" spans="1:1" x14ac:dyDescent="0.25">
      <c r="A337" s="31" t="s">
        <v>63</v>
      </c>
    </row>
    <row r="338" spans="1:1" x14ac:dyDescent="0.25">
      <c r="A338" s="31" t="s">
        <v>64</v>
      </c>
    </row>
    <row r="339" spans="1:1" x14ac:dyDescent="0.25">
      <c r="A339" s="31" t="s">
        <v>9</v>
      </c>
    </row>
    <row r="340" spans="1:1" x14ac:dyDescent="0.25">
      <c r="A340" s="31" t="s">
        <v>10</v>
      </c>
    </row>
    <row r="341" spans="1:1" x14ac:dyDescent="0.25">
      <c r="A341" s="31" t="s">
        <v>9</v>
      </c>
    </row>
    <row r="342" spans="1:1" x14ac:dyDescent="0.25">
      <c r="A342" s="31" t="s">
        <v>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R73"/>
  <sheetViews>
    <sheetView tabSelected="1" workbookViewId="0">
      <selection activeCell="L9" sqref="L9"/>
    </sheetView>
  </sheetViews>
  <sheetFormatPr baseColWidth="10" defaultRowHeight="15" x14ac:dyDescent="0.25"/>
  <sheetData>
    <row r="1" spans="1:26" s="5" customFormat="1" x14ac:dyDescent="0.25"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s="5" customFormat="1" x14ac:dyDescent="0.25"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s="5" customFormat="1" x14ac:dyDescent="0.25"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s="5" customFormat="1" ht="15.75" thickBot="1" x14ac:dyDescent="0.3"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s="5" customFormat="1" ht="15.75" thickBot="1" x14ac:dyDescent="0.3">
      <c r="A5" s="46" t="s">
        <v>0</v>
      </c>
      <c r="B5" s="46"/>
      <c r="C5" s="44" t="s">
        <v>1</v>
      </c>
      <c r="D5" s="57"/>
      <c r="E5" s="57"/>
      <c r="F5" s="57"/>
      <c r="G5" s="57"/>
      <c r="H5" s="45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s="5" customFormat="1" ht="15.75" thickBot="1" x14ac:dyDescent="0.3">
      <c r="A6" s="9"/>
      <c r="B6" s="9"/>
      <c r="C6" s="1"/>
      <c r="D6" s="1"/>
      <c r="E6" s="1"/>
      <c r="F6" s="1"/>
      <c r="G6" s="1"/>
      <c r="H6" s="1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s="5" customFormat="1" ht="15.75" thickBot="1" x14ac:dyDescent="0.3">
      <c r="A7" s="46" t="s">
        <v>2</v>
      </c>
      <c r="B7" s="46"/>
      <c r="C7" s="44" t="s">
        <v>105</v>
      </c>
      <c r="D7" s="57"/>
      <c r="E7" s="57"/>
      <c r="F7" s="57"/>
      <c r="G7" s="57"/>
      <c r="H7" s="45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s="5" customFormat="1" ht="15.75" thickBot="1" x14ac:dyDescent="0.3">
      <c r="A8" s="2"/>
      <c r="B8" s="2"/>
      <c r="C8" s="3"/>
      <c r="D8" s="3"/>
      <c r="E8" s="3"/>
      <c r="F8" s="2"/>
      <c r="G8" s="10"/>
      <c r="H8" s="10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s="5" customFormat="1" ht="15.75" thickBot="1" x14ac:dyDescent="0.3">
      <c r="A9" s="46" t="s">
        <v>3</v>
      </c>
      <c r="B9" s="46"/>
      <c r="C9" s="44" t="s">
        <v>88</v>
      </c>
      <c r="D9" s="57"/>
      <c r="E9" s="57"/>
      <c r="F9" s="57"/>
      <c r="G9" s="57"/>
      <c r="H9" s="45"/>
      <c r="I9" s="6" t="str">
        <f>SUBSTITUTE(C9," ","_")</f>
        <v>Francisco_Bulnes_Correa</v>
      </c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s="5" customFormat="1" ht="15.75" thickBot="1" x14ac:dyDescent="0.3">
      <c r="A10" s="2"/>
      <c r="B10" s="2"/>
      <c r="C10" s="3"/>
      <c r="D10" s="3"/>
      <c r="E10" s="3"/>
      <c r="F10" s="2"/>
      <c r="G10" s="10"/>
      <c r="H10" s="10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s="5" customFormat="1" ht="15.75" thickBot="1" x14ac:dyDescent="0.3">
      <c r="A11" s="48" t="s">
        <v>4</v>
      </c>
      <c r="B11" s="49"/>
      <c r="C11" s="11" t="s">
        <v>106</v>
      </c>
      <c r="D11" s="12"/>
      <c r="E11" s="13"/>
      <c r="F11" s="2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s="5" customFormat="1" ht="15.75" thickBot="1" x14ac:dyDescent="0.3">
      <c r="A12" s="48" t="s">
        <v>75</v>
      </c>
      <c r="B12" s="49"/>
      <c r="C12" s="11" t="s">
        <v>107</v>
      </c>
      <c r="D12" s="12"/>
      <c r="E12" s="13"/>
      <c r="F12" s="2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s="5" customFormat="1" ht="15.75" thickBot="1" x14ac:dyDescent="0.3">
      <c r="A13" s="48" t="s">
        <v>80</v>
      </c>
      <c r="B13" s="49"/>
      <c r="C13" s="11" t="s">
        <v>105</v>
      </c>
      <c r="D13" s="12"/>
      <c r="E13" s="13"/>
      <c r="F13" s="2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s="5" customFormat="1" ht="15.75" thickBot="1" x14ac:dyDescent="0.3">
      <c r="C14" s="6"/>
      <c r="F14" s="44" t="s">
        <v>37</v>
      </c>
      <c r="G14" s="45"/>
      <c r="H14" s="11" t="s">
        <v>38</v>
      </c>
      <c r="I14" s="44" t="s">
        <v>40</v>
      </c>
      <c r="J14" s="45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s="5" customFormat="1" ht="15.75" thickBot="1" x14ac:dyDescent="0.3">
      <c r="A15" s="48" t="s">
        <v>5</v>
      </c>
      <c r="B15" s="49"/>
      <c r="C15" s="11" t="s">
        <v>108</v>
      </c>
      <c r="F15" s="48" t="s">
        <v>5</v>
      </c>
      <c r="G15" s="49"/>
      <c r="H15" s="11" t="s">
        <v>108</v>
      </c>
      <c r="I15" s="20"/>
      <c r="J15" s="19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s="5" customFormat="1" ht="15.75" thickBot="1" x14ac:dyDescent="0.3">
      <c r="A16" s="48" t="s">
        <v>6</v>
      </c>
      <c r="B16" s="49"/>
      <c r="C16" s="11"/>
      <c r="F16" s="48" t="s">
        <v>6</v>
      </c>
      <c r="G16" s="49"/>
      <c r="H16" s="11" t="s">
        <v>91</v>
      </c>
      <c r="I16" s="20"/>
      <c r="J16" s="19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s="5" customFormat="1" ht="15.75" thickBot="1" x14ac:dyDescent="0.3">
      <c r="A17" s="48" t="s">
        <v>7</v>
      </c>
      <c r="B17" s="49"/>
      <c r="C17" s="11"/>
      <c r="F17" s="48" t="s">
        <v>7</v>
      </c>
      <c r="G17" s="49"/>
      <c r="H17" s="11" t="s">
        <v>94</v>
      </c>
      <c r="I17" s="20"/>
      <c r="J17" s="19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s="5" customFormat="1" ht="15.75" thickBot="1" x14ac:dyDescent="0.3">
      <c r="A18" s="48" t="s">
        <v>66</v>
      </c>
      <c r="B18" s="49"/>
      <c r="C18" s="11"/>
      <c r="F18" s="48" t="s">
        <v>66</v>
      </c>
      <c r="G18" s="49"/>
      <c r="H18" s="11" t="s">
        <v>89</v>
      </c>
      <c r="I18" s="20"/>
      <c r="J18" s="19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s="5" customFormat="1" ht="15.75" thickBot="1" x14ac:dyDescent="0.3">
      <c r="A19" s="48" t="s">
        <v>67</v>
      </c>
      <c r="B19" s="49"/>
      <c r="C19" s="11"/>
      <c r="F19" s="48" t="s">
        <v>67</v>
      </c>
      <c r="G19" s="49"/>
      <c r="H19" s="11" t="s">
        <v>92</v>
      </c>
      <c r="I19" s="20"/>
      <c r="J19" s="19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s="5" customFormat="1" ht="15.75" thickBot="1" x14ac:dyDescent="0.3">
      <c r="A20" s="48" t="s">
        <v>68</v>
      </c>
      <c r="B20" s="49"/>
      <c r="C20" s="11"/>
      <c r="F20" s="48" t="s">
        <v>68</v>
      </c>
      <c r="G20" s="49"/>
      <c r="H20" s="11" t="s">
        <v>95</v>
      </c>
      <c r="I20" s="20"/>
      <c r="J20" s="19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s="5" customFormat="1" ht="15.75" thickBot="1" x14ac:dyDescent="0.3">
      <c r="A21" s="48" t="s">
        <v>69</v>
      </c>
      <c r="B21" s="49"/>
      <c r="C21" s="11"/>
      <c r="F21" s="48" t="s">
        <v>69</v>
      </c>
      <c r="G21" s="49"/>
      <c r="H21" s="11" t="s">
        <v>90</v>
      </c>
      <c r="I21" s="20"/>
      <c r="J21" s="19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s="5" customFormat="1" ht="15.75" thickBot="1" x14ac:dyDescent="0.3">
      <c r="A22" s="48" t="s">
        <v>70</v>
      </c>
      <c r="B22" s="49"/>
      <c r="C22" s="11"/>
      <c r="F22" s="48" t="s">
        <v>70</v>
      </c>
      <c r="G22" s="49"/>
      <c r="H22" s="11" t="s">
        <v>93</v>
      </c>
      <c r="I22" s="20"/>
      <c r="J22" s="19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s="5" customFormat="1" ht="15.75" thickBot="1" x14ac:dyDescent="0.3">
      <c r="A23" s="48" t="s">
        <v>71</v>
      </c>
      <c r="B23" s="49"/>
      <c r="C23" s="11"/>
      <c r="F23" s="48" t="s">
        <v>71</v>
      </c>
      <c r="G23" s="49"/>
      <c r="H23" s="11" t="s">
        <v>96</v>
      </c>
      <c r="I23" s="20"/>
      <c r="J23" s="19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s="5" customFormat="1" ht="15.75" thickBot="1" x14ac:dyDescent="0.3">
      <c r="A24" s="48" t="s">
        <v>72</v>
      </c>
      <c r="B24" s="49"/>
      <c r="C24" s="11"/>
      <c r="F24" s="48" t="s">
        <v>72</v>
      </c>
      <c r="G24" s="49"/>
      <c r="H24" s="11"/>
      <c r="I24" s="20"/>
      <c r="J24" s="19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s="5" customFormat="1" ht="15.75" thickBot="1" x14ac:dyDescent="0.3">
      <c r="A25" s="48" t="s">
        <v>73</v>
      </c>
      <c r="B25" s="49"/>
      <c r="C25" s="11"/>
      <c r="F25" s="48" t="s">
        <v>73</v>
      </c>
      <c r="G25" s="49"/>
      <c r="H25" s="11"/>
      <c r="I25" s="20"/>
      <c r="J25" s="19"/>
    </row>
    <row r="26" spans="1:26" s="5" customFormat="1" ht="15.75" thickBot="1" x14ac:dyDescent="0.3">
      <c r="A26" s="48" t="s">
        <v>74</v>
      </c>
      <c r="B26" s="49"/>
      <c r="C26" s="11"/>
      <c r="F26" s="48" t="s">
        <v>74</v>
      </c>
      <c r="G26" s="49"/>
      <c r="H26" s="11"/>
      <c r="I26" s="20"/>
      <c r="J26" s="19"/>
    </row>
    <row r="27" spans="1:26" s="5" customFormat="1" x14ac:dyDescent="0.25">
      <c r="A27" s="21"/>
      <c r="B27" s="21"/>
      <c r="C27" s="21"/>
      <c r="F27" s="21"/>
      <c r="G27" s="21"/>
      <c r="H27" s="21"/>
      <c r="I27" s="21"/>
      <c r="J27" s="21"/>
    </row>
    <row r="28" spans="1:26" s="5" customFormat="1" x14ac:dyDescent="0.25">
      <c r="A28" s="21"/>
      <c r="B28" s="21"/>
      <c r="C28" s="21"/>
      <c r="F28" s="21"/>
      <c r="G28" s="21"/>
      <c r="H28" s="21"/>
      <c r="I28" s="21"/>
      <c r="J28" s="21"/>
    </row>
    <row r="29" spans="1:26" s="5" customFormat="1" ht="15.75" thickBot="1" x14ac:dyDescent="0.3">
      <c r="B29" s="22"/>
      <c r="C29" s="23"/>
      <c r="D29" s="22"/>
      <c r="E29" s="23"/>
    </row>
    <row r="30" spans="1:26" s="5" customFormat="1" ht="15.75" thickBot="1" x14ac:dyDescent="0.3">
      <c r="B30" s="46" t="s">
        <v>33</v>
      </c>
      <c r="C30" s="46"/>
      <c r="D30" s="56" t="s">
        <v>81</v>
      </c>
      <c r="E30" s="56"/>
    </row>
    <row r="31" spans="1:26" s="5" customFormat="1" ht="15.75" thickBot="1" x14ac:dyDescent="0.3">
      <c r="B31" s="15"/>
      <c r="C31" s="16"/>
      <c r="D31" s="15"/>
      <c r="E31" s="16"/>
    </row>
    <row r="32" spans="1:26" s="5" customFormat="1" ht="15.75" thickBot="1" x14ac:dyDescent="0.3">
      <c r="B32" s="17"/>
      <c r="C32" s="16"/>
      <c r="D32" s="17"/>
      <c r="E32" s="16"/>
    </row>
    <row r="33" spans="1:70" s="5" customFormat="1" ht="15.75" thickBot="1" x14ac:dyDescent="0.3">
      <c r="B33" s="17"/>
      <c r="C33" s="16"/>
      <c r="D33" s="17"/>
      <c r="E33" s="16"/>
    </row>
    <row r="34" spans="1:70" s="5" customFormat="1" ht="15.75" thickBot="1" x14ac:dyDescent="0.3">
      <c r="B34" s="17"/>
      <c r="C34" s="16"/>
      <c r="D34" s="17"/>
      <c r="E34" s="16"/>
    </row>
    <row r="35" spans="1:70" s="5" customFormat="1" ht="15.75" thickBot="1" x14ac:dyDescent="0.3">
      <c r="B35" s="17"/>
      <c r="C35" s="16"/>
      <c r="D35" s="17"/>
      <c r="E35" s="16"/>
    </row>
    <row r="36" spans="1:70" s="5" customFormat="1" ht="15.75" thickBot="1" x14ac:dyDescent="0.3">
      <c r="B36" s="17"/>
      <c r="C36" s="16"/>
      <c r="D36" s="17"/>
      <c r="E36" s="16"/>
    </row>
    <row r="37" spans="1:70" s="5" customFormat="1" ht="15.75" thickBot="1" x14ac:dyDescent="0.3">
      <c r="B37" s="17"/>
      <c r="C37" s="16"/>
      <c r="D37" s="17"/>
      <c r="E37" s="16"/>
    </row>
    <row r="38" spans="1:70" s="5" customFormat="1" ht="15.75" thickBot="1" x14ac:dyDescent="0.3">
      <c r="B38" s="17"/>
      <c r="C38" s="16"/>
      <c r="D38" s="17"/>
      <c r="E38" s="16"/>
    </row>
    <row r="39" spans="1:70" s="5" customFormat="1" ht="15.75" thickBot="1" x14ac:dyDescent="0.3">
      <c r="B39" s="17"/>
      <c r="C39" s="16"/>
      <c r="D39" s="25"/>
      <c r="E39" s="16"/>
    </row>
    <row r="40" spans="1:70" s="5" customFormat="1" ht="15.75" thickBot="1" x14ac:dyDescent="0.3">
      <c r="B40" s="17"/>
      <c r="C40" s="16"/>
      <c r="D40" s="25"/>
      <c r="E40" s="16"/>
    </row>
    <row r="41" spans="1:70" s="5" customFormat="1" ht="15.75" thickBot="1" x14ac:dyDescent="0.3">
      <c r="B41" s="17"/>
      <c r="C41" s="16"/>
      <c r="D41" s="25"/>
      <c r="E41" s="16"/>
    </row>
    <row r="42" spans="1:70" s="5" customFormat="1" ht="15.75" thickBot="1" x14ac:dyDescent="0.3">
      <c r="B42" s="17"/>
      <c r="C42" s="16"/>
      <c r="D42" s="25"/>
      <c r="E42" s="16"/>
    </row>
    <row r="43" spans="1:70" s="5" customFormat="1" ht="15.75" thickBot="1" x14ac:dyDescent="0.3">
      <c r="B43" s="17"/>
      <c r="C43" s="16"/>
      <c r="D43" s="25"/>
      <c r="E43" s="16"/>
    </row>
    <row r="44" spans="1:70" s="5" customFormat="1" ht="15.75" thickBot="1" x14ac:dyDescent="0.3">
      <c r="B44" s="17"/>
      <c r="C44" s="16"/>
      <c r="D44" s="25"/>
      <c r="E44" s="16"/>
    </row>
    <row r="45" spans="1:70" ht="15.75" thickBot="1" x14ac:dyDescent="0.3">
      <c r="A45" s="5"/>
      <c r="B45" s="17"/>
      <c r="C45" s="16"/>
      <c r="D45" s="24"/>
      <c r="E45" s="16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</row>
    <row r="46" spans="1:70" ht="15.75" thickBot="1" x14ac:dyDescent="0.3">
      <c r="A46" s="5"/>
      <c r="B46" s="17"/>
      <c r="C46" s="16"/>
      <c r="D46" s="17"/>
      <c r="E46" s="16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</row>
    <row r="47" spans="1:70" ht="15.75" thickBot="1" x14ac:dyDescent="0.3">
      <c r="A47" s="5"/>
      <c r="B47" s="17"/>
      <c r="C47" s="16"/>
      <c r="D47" s="17"/>
      <c r="E47" s="16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</row>
    <row r="48" spans="1:70" ht="15.75" thickBot="1" x14ac:dyDescent="0.3">
      <c r="A48" s="5"/>
      <c r="B48" s="17"/>
      <c r="C48" s="16"/>
      <c r="D48" s="17"/>
      <c r="E48" s="16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</row>
    <row r="49" spans="1:70" ht="15.75" thickBot="1" x14ac:dyDescent="0.3">
      <c r="A49" s="5"/>
      <c r="B49" s="17"/>
      <c r="C49" s="16"/>
      <c r="D49" s="17"/>
      <c r="E49" s="16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</row>
    <row r="50" spans="1:70" ht="15.75" thickBot="1" x14ac:dyDescent="0.3">
      <c r="A50" s="5"/>
      <c r="B50" s="17"/>
      <c r="C50" s="16"/>
      <c r="D50" s="17"/>
      <c r="E50" s="16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</row>
    <row r="51" spans="1:70" ht="15.75" thickBot="1" x14ac:dyDescent="0.3">
      <c r="A51" s="5"/>
      <c r="B51" s="17"/>
      <c r="C51" s="16"/>
      <c r="D51" s="17"/>
      <c r="E51" s="16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</row>
    <row r="52" spans="1:70" ht="15.75" thickBot="1" x14ac:dyDescent="0.3">
      <c r="A52" s="5"/>
      <c r="B52" s="17"/>
      <c r="C52" s="16"/>
      <c r="D52" s="17"/>
      <c r="E52" s="16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</row>
    <row r="53" spans="1:70" ht="15.75" thickBot="1" x14ac:dyDescent="0.3">
      <c r="A53" s="5"/>
      <c r="B53" s="17"/>
      <c r="C53" s="16"/>
      <c r="D53" s="17"/>
      <c r="E53" s="16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</row>
    <row r="54" spans="1:70" ht="15.75" thickBot="1" x14ac:dyDescent="0.3">
      <c r="A54" s="5"/>
      <c r="B54" s="17"/>
      <c r="C54" s="16"/>
      <c r="D54" s="17"/>
      <c r="E54" s="16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</row>
    <row r="55" spans="1:70" ht="15.75" thickBot="1" x14ac:dyDescent="0.3">
      <c r="A55" s="5"/>
      <c r="B55" s="17"/>
      <c r="C55" s="16"/>
      <c r="D55" s="17"/>
      <c r="E55" s="16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</row>
    <row r="56" spans="1:70" ht="15.75" thickBot="1" x14ac:dyDescent="0.3">
      <c r="A56" s="5"/>
      <c r="B56" s="17"/>
      <c r="C56" s="16"/>
      <c r="D56" s="17"/>
      <c r="E56" s="16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</row>
    <row r="57" spans="1:70" ht="15.75" thickBot="1" x14ac:dyDescent="0.3">
      <c r="A57" s="5"/>
      <c r="B57" s="17"/>
      <c r="C57" s="16"/>
      <c r="D57" s="17"/>
      <c r="E57" s="16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</row>
    <row r="58" spans="1:70" ht="15.75" thickBot="1" x14ac:dyDescent="0.3">
      <c r="A58" s="5"/>
      <c r="B58" s="17"/>
      <c r="C58" s="16"/>
      <c r="D58" s="17"/>
      <c r="E58" s="16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</row>
    <row r="59" spans="1:70" ht="15.75" thickBot="1" x14ac:dyDescent="0.3">
      <c r="A59" s="5"/>
      <c r="B59" s="17"/>
      <c r="C59" s="16"/>
      <c r="D59" s="17"/>
      <c r="E59" s="16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</row>
    <row r="60" spans="1:70" ht="15.75" thickBot="1" x14ac:dyDescent="0.3">
      <c r="A60" s="5"/>
      <c r="B60" s="17"/>
      <c r="C60" s="16"/>
      <c r="D60" s="24"/>
      <c r="E60" s="16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</row>
    <row r="61" spans="1:70" ht="15.75" thickBot="1" x14ac:dyDescent="0.3">
      <c r="A61" s="5"/>
      <c r="B61" s="17"/>
      <c r="C61" s="16"/>
      <c r="D61" s="17"/>
      <c r="E61" s="16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</row>
    <row r="62" spans="1:70" ht="15.75" thickBot="1" x14ac:dyDescent="0.3">
      <c r="A62" s="5"/>
      <c r="B62" s="17"/>
      <c r="C62" s="16"/>
      <c r="D62" s="17"/>
      <c r="E62" s="16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</row>
    <row r="63" spans="1:70" ht="15.75" thickBot="1" x14ac:dyDescent="0.3">
      <c r="A63" s="5"/>
      <c r="B63" s="17"/>
      <c r="C63" s="16"/>
      <c r="D63" s="17"/>
      <c r="E63" s="16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</row>
    <row r="64" spans="1:70" ht="15.75" thickBot="1" x14ac:dyDescent="0.3">
      <c r="A64" s="5"/>
      <c r="B64" s="17"/>
      <c r="C64" s="16"/>
      <c r="D64" s="17"/>
      <c r="E64" s="16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</row>
    <row r="65" spans="1:70" ht="15.75" thickBot="1" x14ac:dyDescent="0.3">
      <c r="A65" s="5"/>
      <c r="B65" s="17"/>
      <c r="C65" s="16"/>
      <c r="D65" s="17"/>
      <c r="E65" s="16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</row>
    <row r="66" spans="1:70" ht="15.75" thickBot="1" x14ac:dyDescent="0.3">
      <c r="A66" s="5"/>
      <c r="B66" s="17"/>
      <c r="C66" s="16"/>
      <c r="D66" s="17"/>
      <c r="E66" s="16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</row>
    <row r="67" spans="1:70" ht="15.75" thickBot="1" x14ac:dyDescent="0.3">
      <c r="A67" s="5"/>
      <c r="B67" s="17"/>
      <c r="C67" s="16"/>
      <c r="D67" s="24"/>
      <c r="E67" s="16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</row>
    <row r="68" spans="1:70" ht="15.75" thickBot="1" x14ac:dyDescent="0.3">
      <c r="A68" s="5"/>
      <c r="B68" s="17"/>
      <c r="C68" s="16"/>
      <c r="D68" s="17"/>
      <c r="E68" s="16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</row>
    <row r="69" spans="1:70" ht="15.75" thickBot="1" x14ac:dyDescent="0.3">
      <c r="A69" s="5"/>
      <c r="B69" s="17"/>
      <c r="C69" s="16"/>
      <c r="D69" s="17"/>
      <c r="E69" s="16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</row>
    <row r="70" spans="1:70" ht="15.75" thickBot="1" x14ac:dyDescent="0.3">
      <c r="A70" s="5"/>
      <c r="B70" s="17"/>
      <c r="C70" s="16"/>
      <c r="D70" s="17"/>
      <c r="E70" s="16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</row>
    <row r="71" spans="1:70" ht="15.75" thickBot="1" x14ac:dyDescent="0.3">
      <c r="A71" s="5"/>
      <c r="B71" s="17"/>
      <c r="C71" s="16"/>
      <c r="D71" s="17"/>
      <c r="E71" s="16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</row>
    <row r="72" spans="1:70" ht="15.75" thickBot="1" x14ac:dyDescent="0.3">
      <c r="A72" s="5"/>
      <c r="B72" s="17"/>
      <c r="C72" s="16"/>
      <c r="D72" s="17"/>
      <c r="E72" s="16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</row>
    <row r="73" spans="1:70" ht="15.75" thickBot="1" x14ac:dyDescent="0.3">
      <c r="A73" s="5"/>
      <c r="B73" s="17"/>
      <c r="C73" s="16"/>
      <c r="D73" s="17"/>
      <c r="E73" s="16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</row>
  </sheetData>
  <mergeCells count="37">
    <mergeCell ref="A5:B5"/>
    <mergeCell ref="C5:H5"/>
    <mergeCell ref="A7:B7"/>
    <mergeCell ref="C7:H7"/>
    <mergeCell ref="A9:B9"/>
    <mergeCell ref="C9:H9"/>
    <mergeCell ref="A16:B16"/>
    <mergeCell ref="A18:B18"/>
    <mergeCell ref="A11:B11"/>
    <mergeCell ref="F14:G14"/>
    <mergeCell ref="I14:J14"/>
    <mergeCell ref="A15:B15"/>
    <mergeCell ref="A12:B12"/>
    <mergeCell ref="A13:B13"/>
    <mergeCell ref="F15:G15"/>
    <mergeCell ref="F16:G16"/>
    <mergeCell ref="F17:G17"/>
    <mergeCell ref="F18:G18"/>
    <mergeCell ref="A17:B17"/>
    <mergeCell ref="A19:B19"/>
    <mergeCell ref="A20:B20"/>
    <mergeCell ref="A21:B21"/>
    <mergeCell ref="A22:B22"/>
    <mergeCell ref="B30:C30"/>
    <mergeCell ref="A25:B25"/>
    <mergeCell ref="A26:B26"/>
    <mergeCell ref="A23:B23"/>
    <mergeCell ref="A24:B24"/>
    <mergeCell ref="D30:E30"/>
    <mergeCell ref="F19:G19"/>
    <mergeCell ref="F20:G20"/>
    <mergeCell ref="F21:G21"/>
    <mergeCell ref="F22:G22"/>
    <mergeCell ref="F23:G23"/>
    <mergeCell ref="F24:G24"/>
    <mergeCell ref="F25:G25"/>
    <mergeCell ref="F26:G26"/>
  </mergeCells>
  <pageMargins left="0.7" right="0.7" top="0.75" bottom="0.75" header="0.3" footer="0.3"/>
  <pageSetup orientation="portrait" horizontalDpi="4294967294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Script!$C$5:$C$10</xm:f>
          </x14:formula1>
          <xm:sqref>C5:H5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387"/>
  <sheetViews>
    <sheetView topLeftCell="A66" zoomScale="85" zoomScaleNormal="85" workbookViewId="0">
      <selection activeCell="A86" sqref="A86:A109"/>
    </sheetView>
  </sheetViews>
  <sheetFormatPr baseColWidth="10" defaultRowHeight="15" x14ac:dyDescent="0.25"/>
  <cols>
    <col min="1" max="1" width="86" style="4" customWidth="1"/>
  </cols>
  <sheetData>
    <row r="1" spans="1:1" x14ac:dyDescent="0.25">
      <c r="A1" s="4" t="str">
        <f>CONCATENATE("DT_",BORRADO3G!C7,"_",UPPER(BORRADO3G!I9),"_BORRADO_(",BORRADO3G!C11,").txt")</f>
        <v>DT_UHL223_FRANCISCO_BULNES_CORREA_BORRADO_(LSB03).txt</v>
      </c>
    </row>
    <row r="2" spans="1:1" x14ac:dyDescent="0.25">
      <c r="A2" s="4" t="s">
        <v>8</v>
      </c>
    </row>
    <row r="3" spans="1:1" x14ac:dyDescent="0.25">
      <c r="A3" s="4" t="str">
        <f>CONCATENATE("@L+ ",BORRADO3G!C7,"_",UPPER(BORRADO3G!I9),"_BORRADO_(",BORRADO3G!C11,").log")</f>
        <v>@L+ UHL223_FRANCISCO_BULNES_CORREA_BORRADO_(LSB03).log</v>
      </c>
    </row>
    <row r="5" spans="1:1" x14ac:dyDescent="0.25">
      <c r="A5" s="4" t="str">
        <f>CONCATENATE("eaw ",BORRADO3G!C11,";")</f>
        <v>eaw LSB03;</v>
      </c>
    </row>
    <row r="7" spans="1:1" x14ac:dyDescent="0.25">
      <c r="A7" s="4" t="s">
        <v>63</v>
      </c>
    </row>
    <row r="8" spans="1:1" x14ac:dyDescent="0.25">
      <c r="A8" s="4" t="s">
        <v>64</v>
      </c>
    </row>
    <row r="9" spans="1:1" x14ac:dyDescent="0.25">
      <c r="A9" s="4" t="s">
        <v>76</v>
      </c>
    </row>
    <row r="10" spans="1:1" x14ac:dyDescent="0.25">
      <c r="A10" s="4" t="s">
        <v>77</v>
      </c>
    </row>
    <row r="11" spans="1:1" x14ac:dyDescent="0.25">
      <c r="A11" s="4" t="s">
        <v>78</v>
      </c>
    </row>
    <row r="12" spans="1:1" x14ac:dyDescent="0.25">
      <c r="A12" s="4" t="str">
        <f>CONCATENATE("@COMMENT |     DEFINITION OF UTRAN CELLS IN BSC ",BORRADO3G!C11,"     |")</f>
        <v>@COMMENT |     DEFINITION OF UTRAN CELLS IN BSC LSB03     |</v>
      </c>
    </row>
    <row r="13" spans="1:1" x14ac:dyDescent="0.25">
      <c r="A13" s="4" t="s">
        <v>76</v>
      </c>
    </row>
    <row r="14" spans="1:1" x14ac:dyDescent="0.25">
      <c r="A14" s="4" t="str">
        <f>IF(BORRADO3G!C15="","NULL",CONCATENATE("RLDEE:CELL=",BORRADO3G!C15,";"))</f>
        <v>RLDEE:CELL=U49244;</v>
      </c>
    </row>
    <row r="15" spans="1:1" x14ac:dyDescent="0.25">
      <c r="A15" s="4" t="str">
        <f>IF(BORRADO3G!C16="","NULL",CONCATENATE("RLDEE:CELL=",BORRADO3G!C16,";"))</f>
        <v>NULL</v>
      </c>
    </row>
    <row r="16" spans="1:1" x14ac:dyDescent="0.25">
      <c r="A16" s="4" t="str">
        <f>IF(BORRADO3G!C17="","NULL",CONCATENATE("RLDEE:CELL=",BORRADO3G!C17,";"))</f>
        <v>NULL</v>
      </c>
    </row>
    <row r="17" spans="1:1" x14ac:dyDescent="0.25">
      <c r="A17" s="4" t="str">
        <f>IF(BORRADO3G!C18="","NULL",CONCATENATE("RLDEE:CELL=",BORRADO3G!C18,";"))</f>
        <v>NULL</v>
      </c>
    </row>
    <row r="18" spans="1:1" x14ac:dyDescent="0.25">
      <c r="A18" s="4" t="str">
        <f>IF(BORRADO3G!C19="","NULL",CONCATENATE("RLDEE:CELL=",BORRADO3G!C19,";"))</f>
        <v>NULL</v>
      </c>
    </row>
    <row r="19" spans="1:1" x14ac:dyDescent="0.25">
      <c r="A19" s="4" t="str">
        <f>IF(BORRADO3G!C20="","NULL",CONCATENATE("RLDEE:CELL=",BORRADO3G!C20,";"))</f>
        <v>NULL</v>
      </c>
    </row>
    <row r="20" spans="1:1" x14ac:dyDescent="0.25">
      <c r="A20" s="4" t="str">
        <f>IF(BORRADO3G!C21="","NULL",CONCATENATE("RLDEE:CELL=",BORRADO3G!C21,";"))</f>
        <v>NULL</v>
      </c>
    </row>
    <row r="21" spans="1:1" x14ac:dyDescent="0.25">
      <c r="A21" s="4" t="str">
        <f>IF(BORRADO3G!C22="","NULL",CONCATENATE("RLDEE:CELL=",BORRADO3G!C22,";"))</f>
        <v>NULL</v>
      </c>
    </row>
    <row r="22" spans="1:1" x14ac:dyDescent="0.25">
      <c r="A22" s="4" t="str">
        <f>IF(BORRADO3G!C23="","NULL",CONCATENATE("RLDEE:CELL=",BORRADO3G!C23,";"))</f>
        <v>NULL</v>
      </c>
    </row>
    <row r="23" spans="1:1" x14ac:dyDescent="0.25">
      <c r="A23" s="4" t="str">
        <f>IF(BORRADO3G!C24="","NULL",CONCATENATE("RLDEE:CELL=",BORRADO3G!C24,";"))</f>
        <v>NULL</v>
      </c>
    </row>
    <row r="24" spans="1:1" x14ac:dyDescent="0.25">
      <c r="A24" s="4" t="str">
        <f>IF(BORRADO3G!C25="","NULL",CONCATENATE("RLDEE:CELL=",BORRADO3G!C25,";"))</f>
        <v>NULL</v>
      </c>
    </row>
    <row r="25" spans="1:1" x14ac:dyDescent="0.25">
      <c r="A25" s="4" t="str">
        <f>IF(BORRADO3G!C26="","NULL",CONCATENATE("RLDEE:CELL=",BORRADO3G!C26,";"))</f>
        <v>NULL</v>
      </c>
    </row>
    <row r="27" spans="1:1" x14ac:dyDescent="0.25">
      <c r="A27" s="4" t="s">
        <v>78</v>
      </c>
    </row>
    <row r="28" spans="1:1" x14ac:dyDescent="0.25">
      <c r="A28" s="4" t="s">
        <v>79</v>
      </c>
    </row>
    <row r="29" spans="1:1" x14ac:dyDescent="0.25">
      <c r="A29" s="4" t="s">
        <v>78</v>
      </c>
    </row>
    <row r="30" spans="1:1" x14ac:dyDescent="0.25">
      <c r="A30" s="4" t="str">
        <f>IF(BORRADO3G!C31="","NULL",CONCATENATE("RLUMC:CELL=",BORRADO3G!C31,",REM,UMFI=",BORRADO3G!E31,"-NODIV;"))</f>
        <v>NULL</v>
      </c>
    </row>
    <row r="31" spans="1:1" x14ac:dyDescent="0.25">
      <c r="A31" s="4" t="str">
        <f>IF(BORRADO3G!C32="","NULL",CONCATENATE("RLUMC:CELL=",BORRADO3G!C32,",REM,UMFI=",BORRADO3G!E32,"-NODIV;"))</f>
        <v>NULL</v>
      </c>
    </row>
    <row r="32" spans="1:1" x14ac:dyDescent="0.25">
      <c r="A32" s="4" t="str">
        <f>IF(BORRADO3G!C33="","NULL",CONCATENATE("RLUMC:CELL=",BORRADO3G!C33,",REM,UMFI=",BORRADO3G!E33,"-NODIV;"))</f>
        <v>NULL</v>
      </c>
    </row>
    <row r="33" spans="1:1" x14ac:dyDescent="0.25">
      <c r="A33" s="4" t="str">
        <f>IF(BORRADO3G!C34="","NULL",CONCATENATE("RLUMC:CELL=",BORRADO3G!C34,",REM,UMFI=",BORRADO3G!E34,"-NODIV;"))</f>
        <v>NULL</v>
      </c>
    </row>
    <row r="34" spans="1:1" x14ac:dyDescent="0.25">
      <c r="A34" s="4" t="str">
        <f>IF(BORRADO3G!C35="","NULL",CONCATENATE("RLUMC:CELL=",BORRADO3G!C35,",REM,UMFI=",BORRADO3G!E35,"-NODIV;"))</f>
        <v>NULL</v>
      </c>
    </row>
    <row r="35" spans="1:1" x14ac:dyDescent="0.25">
      <c r="A35" s="4" t="str">
        <f>IF(BORRADO3G!C36="","NULL",CONCATENATE("RLUMC:CELL=",BORRADO3G!C36,",REM,UMFI=",BORRADO3G!E36,"-NODIV;"))</f>
        <v>NULL</v>
      </c>
    </row>
    <row r="36" spans="1:1" x14ac:dyDescent="0.25">
      <c r="A36" s="4" t="str">
        <f>IF(BORRADO3G!C37="","NULL",CONCATENATE("RLUMC:CELL=",BORRADO3G!C37,",REM,UMFI=",BORRADO3G!E37,"-NODIV;"))</f>
        <v>NULL</v>
      </c>
    </row>
    <row r="37" spans="1:1" x14ac:dyDescent="0.25">
      <c r="A37" s="4" t="str">
        <f>IF(BORRADO3G!C38="","NULL",CONCATENATE("RLUMC:CELL=",BORRADO3G!C38,",REM,UMFI=",BORRADO3G!E38,"-NODIV;"))</f>
        <v>NULL</v>
      </c>
    </row>
    <row r="38" spans="1:1" x14ac:dyDescent="0.25">
      <c r="A38" s="4" t="str">
        <f>IF(BORRADO3G!C39="","NULL",CONCATENATE("RLUMC:CELL=",BORRADO3G!C39,",REM,UMFI=",BORRADO3G!E39,"-NODIV;"))</f>
        <v>NULL</v>
      </c>
    </row>
    <row r="39" spans="1:1" x14ac:dyDescent="0.25">
      <c r="A39" s="4" t="str">
        <f>IF(BORRADO3G!C40="","NULL",CONCATENATE("RLUMC:CELL=",BORRADO3G!C40,",REM,UMFI=",BORRADO3G!E40,"-NODIV;"))</f>
        <v>NULL</v>
      </c>
    </row>
    <row r="40" spans="1:1" x14ac:dyDescent="0.25">
      <c r="A40" s="4" t="str">
        <f>IF(BORRADO3G!C41="","NULL",CONCATENATE("RLUMC:CELL=",BORRADO3G!C41,",REM,UMFI=",BORRADO3G!E41,"-NODIV;"))</f>
        <v>NULL</v>
      </c>
    </row>
    <row r="41" spans="1:1" x14ac:dyDescent="0.25">
      <c r="A41" s="4" t="str">
        <f>IF(BORRADO3G!C42="","NULL",CONCATENATE("RLUMC:CELL=",BORRADO3G!C42,",REM,UMFI=",BORRADO3G!E42,"-NODIV;"))</f>
        <v>NULL</v>
      </c>
    </row>
    <row r="42" spans="1:1" x14ac:dyDescent="0.25">
      <c r="A42" s="4" t="str">
        <f>IF(BORRADO3G!C43="","NULL",CONCATENATE("RLUMC:CELL=",BORRADO3G!C43,",REM,UMFI=",BORRADO3G!E43,"-NODIV;"))</f>
        <v>NULL</v>
      </c>
    </row>
    <row r="43" spans="1:1" x14ac:dyDescent="0.25">
      <c r="A43" s="4" t="str">
        <f>IF(BORRADO3G!C44="","NULL",CONCATENATE("RLUMC:CELL=",BORRADO3G!C44,",REM,UMFI=",BORRADO3G!E44,"-NODIV;"))</f>
        <v>NULL</v>
      </c>
    </row>
    <row r="44" spans="1:1" x14ac:dyDescent="0.25">
      <c r="A44" s="4" t="str">
        <f>IF(BORRADO3G!C45="","NULL",CONCATENATE("RLUMC:CELL=",BORRADO3G!C45,",REM,UMFI=",BORRADO3G!E45,"-NODIV;"))</f>
        <v>NULL</v>
      </c>
    </row>
    <row r="45" spans="1:1" x14ac:dyDescent="0.25">
      <c r="A45" s="4" t="str">
        <f>IF(BORRADO3G!C46="","NULL",CONCATENATE("RLUMC:CELL=",BORRADO3G!C46,",REM,UMFI=",BORRADO3G!E46,"-NODIV;"))</f>
        <v>NULL</v>
      </c>
    </row>
    <row r="46" spans="1:1" x14ac:dyDescent="0.25">
      <c r="A46" s="4" t="str">
        <f>IF(BORRADO3G!C47="","NULL",CONCATENATE("RLUMC:CELL=",BORRADO3G!C47,",REM,UMFI=",BORRADO3G!E47,"-NODIV;"))</f>
        <v>NULL</v>
      </c>
    </row>
    <row r="47" spans="1:1" x14ac:dyDescent="0.25">
      <c r="A47" s="4" t="str">
        <f>IF(BORRADO3G!C48="","NULL",CONCATENATE("RLUMC:CELL=",BORRADO3G!C48,",REM,UMFI=",BORRADO3G!E48,"-NODIV;"))</f>
        <v>NULL</v>
      </c>
    </row>
    <row r="48" spans="1:1" x14ac:dyDescent="0.25">
      <c r="A48" s="4" t="str">
        <f>IF(BORRADO3G!C49="","NULL",CONCATENATE("RLUMC:CELL=",BORRADO3G!C49,",REM,UMFI=",BORRADO3G!E49,"-NODIV;"))</f>
        <v>NULL</v>
      </c>
    </row>
    <row r="49" spans="1:1" x14ac:dyDescent="0.25">
      <c r="A49" s="4" t="str">
        <f>IF(BORRADO3G!C50="","NULL",CONCATENATE("RLUMC:CELL=",BORRADO3G!C50,",REM,UMFI=",BORRADO3G!E50,"-NODIV;"))</f>
        <v>NULL</v>
      </c>
    </row>
    <row r="50" spans="1:1" x14ac:dyDescent="0.25">
      <c r="A50" s="4" t="str">
        <f>IF(BORRADO3G!C51="","NULL",CONCATENATE("RLUMC:CELL=",BORRADO3G!C51,",REM,UMFI=",BORRADO3G!E51,"-NODIV;"))</f>
        <v>NULL</v>
      </c>
    </row>
    <row r="51" spans="1:1" x14ac:dyDescent="0.25">
      <c r="A51" s="4" t="str">
        <f>IF(BORRADO3G!C52="","NULL",CONCATENATE("RLUMC:CELL=",BORRADO3G!C52,",REM,UMFI=",BORRADO3G!E52,"-NODIV;"))</f>
        <v>NULL</v>
      </c>
    </row>
    <row r="52" spans="1:1" x14ac:dyDescent="0.25">
      <c r="A52" s="4" t="str">
        <f>IF(BORRADO3G!C53="","NULL",CONCATENATE("RLUMC:CELL=",BORRADO3G!C53,",REM,UMFI=",BORRADO3G!E53,"-NODIV;"))</f>
        <v>NULL</v>
      </c>
    </row>
    <row r="53" spans="1:1" x14ac:dyDescent="0.25">
      <c r="A53" s="4" t="str">
        <f>IF(BORRADO3G!C54="","NULL",CONCATENATE("RLUMC:CELL=",BORRADO3G!C54,",REM,UMFI=",BORRADO3G!E54,"-NODIV;"))</f>
        <v>NULL</v>
      </c>
    </row>
    <row r="54" spans="1:1" x14ac:dyDescent="0.25">
      <c r="A54" s="4" t="str">
        <f>IF(BORRADO3G!C55="","NULL",CONCATENATE("RLUMC:CELL=",BORRADO3G!C55,",REM,UMFI=",BORRADO3G!E55,"-NODIV;"))</f>
        <v>NULL</v>
      </c>
    </row>
    <row r="55" spans="1:1" x14ac:dyDescent="0.25">
      <c r="A55" s="4" t="str">
        <f>IF(BORRADO3G!C56="","NULL",CONCATENATE("RLUMC:CELL=",BORRADO3G!C56,",REM,UMFI=",BORRADO3G!E56,"-NODIV;"))</f>
        <v>NULL</v>
      </c>
    </row>
    <row r="56" spans="1:1" x14ac:dyDescent="0.25">
      <c r="A56" s="4" t="str">
        <f>IF(BORRADO3G!C57="","NULL",CONCATENATE("RLUMC:CELL=",BORRADO3G!C57,",REM,UMFI=",BORRADO3G!E57,"-NODIV;"))</f>
        <v>NULL</v>
      </c>
    </row>
    <row r="57" spans="1:1" x14ac:dyDescent="0.25">
      <c r="A57" s="4" t="str">
        <f>IF(BORRADO3G!C58="","NULL",CONCATENATE("RLUMC:CELL=",BORRADO3G!C58,",REM,UMFI=",BORRADO3G!E58,"-NODIV;"))</f>
        <v>NULL</v>
      </c>
    </row>
    <row r="58" spans="1:1" x14ac:dyDescent="0.25">
      <c r="A58" s="4" t="str">
        <f>IF(BORRADO3G!C59="","NULL",CONCATENATE("RLUMC:CELL=",BORRADO3G!C59,",REM,UMFI=",BORRADO3G!E59,"-NODIV;"))</f>
        <v>NULL</v>
      </c>
    </row>
    <row r="59" spans="1:1" x14ac:dyDescent="0.25">
      <c r="A59" s="4" t="str">
        <f>IF(BORRADO3G!C60="","NULL",CONCATENATE("RLUMC:CELL=",BORRADO3G!C60,",REM,UMFI=",BORRADO3G!E60,"-NODIV;"))</f>
        <v>NULL</v>
      </c>
    </row>
    <row r="60" spans="1:1" x14ac:dyDescent="0.25">
      <c r="A60" s="4" t="str">
        <f>IF(BORRADO3G!C61="","NULL",CONCATENATE("RLUMC:CELL=",BORRADO3G!C61,",REM,UMFI=",BORRADO3G!E61,"-NODIV;"))</f>
        <v>NULL</v>
      </c>
    </row>
    <row r="61" spans="1:1" x14ac:dyDescent="0.25">
      <c r="A61" s="4" t="str">
        <f>IF(BORRADO3G!C62="","NULL",CONCATENATE("RLUMC:CELL=",BORRADO3G!C62,",REM,UMFI=",BORRADO3G!E62,"-NODIV;"))</f>
        <v>NULL</v>
      </c>
    </row>
    <row r="62" spans="1:1" x14ac:dyDescent="0.25">
      <c r="A62" s="4" t="str">
        <f>IF(BORRADO3G!C63="","NULL",CONCATENATE("RLUMC:CELL=",BORRADO3G!C63,",REM,UMFI=",BORRADO3G!E63,"-NODIV;"))</f>
        <v>NULL</v>
      </c>
    </row>
    <row r="63" spans="1:1" x14ac:dyDescent="0.25">
      <c r="A63" s="4" t="str">
        <f>IF(BORRADO3G!C64="","NULL",CONCATENATE("RLUMC:CELL=",BORRADO3G!C64,",REM,UMFI=",BORRADO3G!E64,"-NODIV;"))</f>
        <v>NULL</v>
      </c>
    </row>
    <row r="64" spans="1:1" x14ac:dyDescent="0.25">
      <c r="A64" s="4" t="str">
        <f>IF(BORRADO3G!C65="","NULL",CONCATENATE("RLUMC:CELL=",BORRADO3G!C65,",REM,UMFI=",BORRADO3G!E65,"-NODIV;"))</f>
        <v>NULL</v>
      </c>
    </row>
    <row r="65" spans="1:1" x14ac:dyDescent="0.25">
      <c r="A65" s="4" t="str">
        <f>IF(BORRADO3G!C66="","NULL",CONCATENATE("RLUMC:CELL=",BORRADO3G!C66,",REM,UMFI=",BORRADO3G!E66,"-NODIV;"))</f>
        <v>NULL</v>
      </c>
    </row>
    <row r="66" spans="1:1" x14ac:dyDescent="0.25">
      <c r="A66" s="4" t="str">
        <f>IF(BORRADO3G!C67="","NULL",CONCATENATE("RLUMC:CELL=",BORRADO3G!C67,",REM,UMFI=",BORRADO3G!E67,"-NODIV;"))</f>
        <v>NULL</v>
      </c>
    </row>
    <row r="67" spans="1:1" x14ac:dyDescent="0.25">
      <c r="A67" s="4" t="str">
        <f>IF(BORRADO3G!C68="","NULL",CONCATENATE("RLUMC:CELL=",BORRADO3G!C68,",REM,UMFI=",BORRADO3G!E68,"-NODIV;"))</f>
        <v>NULL</v>
      </c>
    </row>
    <row r="68" spans="1:1" x14ac:dyDescent="0.25">
      <c r="A68" s="4" t="str">
        <f>IF(BORRADO3G!C69="","NULL",CONCATENATE("RLUMC:CELL=",BORRADO3G!C69,",REM,UMFI=",BORRADO3G!E69,"-NODIV;"))</f>
        <v>NULL</v>
      </c>
    </row>
    <row r="69" spans="1:1" x14ac:dyDescent="0.25">
      <c r="A69" s="4" t="str">
        <f>IF(BORRADO3G!C70="","NULL",CONCATENATE("RLUMC:CELL=",BORRADO3G!C70,",REM,UMFI=",BORRADO3G!E70,"-NODIV;"))</f>
        <v>NULL</v>
      </c>
    </row>
    <row r="70" spans="1:1" x14ac:dyDescent="0.25">
      <c r="A70" s="4" t="str">
        <f>IF(BORRADO3G!C71="","NULL",CONCATENATE("RLUMC:CELL=",BORRADO3G!C71,",REM,UMFI=",BORRADO3G!E71,"-NODIV;"))</f>
        <v>NULL</v>
      </c>
    </row>
    <row r="71" spans="1:1" x14ac:dyDescent="0.25">
      <c r="A71" s="4" t="str">
        <f>IF(BORRADO3G!C72="","NULL",CONCATENATE("RLUMC:CELL=",BORRADO3G!C72,",REM,UMFI=",BORRADO3G!E72,"-NODIV;"))</f>
        <v>NULL</v>
      </c>
    </row>
    <row r="72" spans="1:1" x14ac:dyDescent="0.25">
      <c r="A72" s="4" t="str">
        <f>IF(BORRADO3G!C73="","NULL",CONCATENATE("RLUMC:CELL=",BORRADO3G!C73,",REM,UMFI=",BORRADO3G!E73,"-NODIV;"))</f>
        <v>NULL</v>
      </c>
    </row>
    <row r="73" spans="1:1" x14ac:dyDescent="0.25">
      <c r="A73" s="4" t="str">
        <f>IF(BORRADO3G!C74="","NULL",CONCATENATE("RLUMC:CELL=",BORRADO3G!C74,",REM,UMFI=",BORRADO3G!E74,"-NODIV;"))</f>
        <v>NULL</v>
      </c>
    </row>
    <row r="74" spans="1:1" x14ac:dyDescent="0.25">
      <c r="A74" s="4" t="str">
        <f>IF(BORRADO3G!C75="","NULL",CONCATENATE("RLUMC:CELL=",BORRADO3G!C75,",REM,UMFI=",BORRADO3G!E75,"-NODIV;"))</f>
        <v>NULL</v>
      </c>
    </row>
    <row r="75" spans="1:1" x14ac:dyDescent="0.25">
      <c r="A75" s="4" t="str">
        <f>IF(BORRADO3G!C76="","NULL",CONCATENATE("RLUMC:CELL=",BORRADO3G!C76,",REM,UMFI=",BORRADO3G!E76,"-NODIV;"))</f>
        <v>NULL</v>
      </c>
    </row>
    <row r="76" spans="1:1" x14ac:dyDescent="0.25">
      <c r="A76" s="4" t="str">
        <f>IF(BORRADO3G!C77="","NULL",CONCATENATE("RLUMC:CELL=",BORRADO3G!C77,",REM,UMFI=",BORRADO3G!E77,"-NODIV;"))</f>
        <v>NULL</v>
      </c>
    </row>
    <row r="77" spans="1:1" x14ac:dyDescent="0.25">
      <c r="A77" s="4" t="str">
        <f>IF(BORRADO3G!C78="","NULL",CONCATENATE("RLUMC:CELL=",BORRADO3G!C78,",REM,UMFI=",BORRADO3G!E78,"-NODIV;"))</f>
        <v>NULL</v>
      </c>
    </row>
    <row r="78" spans="1:1" x14ac:dyDescent="0.25">
      <c r="A78" s="4" t="str">
        <f>IF(BORRADO3G!C79="","NULL",CONCATENATE("RLUMC:CELL=",BORRADO3G!C79,",REM,UMFI=",BORRADO3G!E79,"-NODIV;"))</f>
        <v>NULL</v>
      </c>
    </row>
    <row r="79" spans="1:1" x14ac:dyDescent="0.25">
      <c r="A79" s="4" t="str">
        <f>IF(BORRADO3G!C80="","NULL",CONCATENATE("RLUMC:CELL=",BORRADO3G!C80,",REM,UMFI=",BORRADO3G!E80,"-NODIV;"))</f>
        <v>NULL</v>
      </c>
    </row>
    <row r="81" spans="1:1" x14ac:dyDescent="0.25">
      <c r="A81" s="4" t="s">
        <v>46</v>
      </c>
    </row>
    <row r="82" spans="1:1" x14ac:dyDescent="0.25">
      <c r="A82" s="4" t="s">
        <v>42</v>
      </c>
    </row>
    <row r="83" spans="1:1" x14ac:dyDescent="0.25">
      <c r="A83" s="4" t="s">
        <v>9</v>
      </c>
    </row>
    <row r="84" spans="1:1" x14ac:dyDescent="0.25">
      <c r="A84" s="4" t="s">
        <v>47</v>
      </c>
    </row>
    <row r="85" spans="1:1" x14ac:dyDescent="0.25">
      <c r="A85" s="4" t="s">
        <v>9</v>
      </c>
    </row>
    <row r="86" spans="1:1" x14ac:dyDescent="0.25">
      <c r="A86" s="4" t="str">
        <f>IF(BORRADO3G!H15="","NULL",CONCATENATE("MGAAE:AREA=",BORRADO3G!H15,";"))</f>
        <v>MGAAE:AREA=U49244;</v>
      </c>
    </row>
    <row r="87" spans="1:1" x14ac:dyDescent="0.25">
      <c r="A87" s="4" t="str">
        <f>IF(BORRADO3G!I15="","NULL",CONCATENATE("MGLNE:LOCNO=",BORRADO3G!I15,";"))</f>
        <v>NULL</v>
      </c>
    </row>
    <row r="88" spans="1:1" x14ac:dyDescent="0.25">
      <c r="A88" s="4" t="str">
        <f>IF(BORRADO3G!H16="","NULL",CONCATENATE("MGAAE:AREA=",BORRADO3G!H16,";"))</f>
        <v>MGAAE:AREA=U55902;</v>
      </c>
    </row>
    <row r="89" spans="1:1" x14ac:dyDescent="0.25">
      <c r="A89" s="4" t="str">
        <f>IF(BORRADO3G!I16="","NULL",CONCATENATE("MGLNE:LOCNO=",BORRADO3G!I16,";"))</f>
        <v>NULL</v>
      </c>
    </row>
    <row r="90" spans="1:1" x14ac:dyDescent="0.25">
      <c r="A90" s="4" t="str">
        <f>IF(BORRADO3G!H17="","NULL",CONCATENATE("MGAAE:AREA=",BORRADO3G!H17,";"))</f>
        <v>MGAAE:AREA=U55903;</v>
      </c>
    </row>
    <row r="91" spans="1:1" x14ac:dyDescent="0.25">
      <c r="A91" s="4" t="str">
        <f>IF(BORRADO3G!I17="","NULL",CONCATENATE("MGLNE:LOCNO=",BORRADO3G!I17,";"))</f>
        <v>NULL</v>
      </c>
    </row>
    <row r="92" spans="1:1" x14ac:dyDescent="0.25">
      <c r="A92" s="4" t="str">
        <f>IF(BORRADO3G!H18="","NULL",CONCATENATE("MGAAE:AREA=",BORRADO3G!H18,";"))</f>
        <v>MGAAE:AREA=U55904;</v>
      </c>
    </row>
    <row r="93" spans="1:1" x14ac:dyDescent="0.25">
      <c r="A93" s="4" t="str">
        <f>IF(BORRADO3G!I18="","NULL",CONCATENATE("MGLNE:LOCNO=",BORRADO3G!I18,";"))</f>
        <v>NULL</v>
      </c>
    </row>
    <row r="94" spans="1:1" x14ac:dyDescent="0.25">
      <c r="A94" s="4" t="str">
        <f>IF(BORRADO3G!H19="","NULL",CONCATENATE("MGAAE:AREA=",BORRADO3G!H19,";"))</f>
        <v>MGAAE:AREA=U55905;</v>
      </c>
    </row>
    <row r="95" spans="1:1" x14ac:dyDescent="0.25">
      <c r="A95" s="4" t="str">
        <f>IF(BORRADO3G!I19="","NULL",CONCATENATE("MGLNE:LOCNO=",BORRADO3G!I19,";"))</f>
        <v>NULL</v>
      </c>
    </row>
    <row r="96" spans="1:1" x14ac:dyDescent="0.25">
      <c r="A96" s="4" t="str">
        <f>IF(BORRADO3G!H20="","NULL",CONCATENATE("MGAAE:AREA=",BORRADO3G!H20,";"))</f>
        <v>MGAAE:AREA=U55906;</v>
      </c>
    </row>
    <row r="97" spans="1:1" x14ac:dyDescent="0.25">
      <c r="A97" s="4" t="str">
        <f>IF(BORRADO3G!I20="","NULL",CONCATENATE("MGLNE:LOCNO=",BORRADO3G!I20,";"))</f>
        <v>NULL</v>
      </c>
    </row>
    <row r="98" spans="1:1" x14ac:dyDescent="0.25">
      <c r="A98" s="4" t="str">
        <f>IF(BORRADO3G!H21="","NULL",CONCATENATE("MGAAE:AREA=",BORRADO3G!H21,";"))</f>
        <v>MGAAE:AREA=U55907;</v>
      </c>
    </row>
    <row r="99" spans="1:1" x14ac:dyDescent="0.25">
      <c r="A99" s="4" t="str">
        <f>IF(BORRADO3G!I21="","NULL",CONCATENATE("MGLNE:LOCNO=",BORRADO3G!I21,";"))</f>
        <v>NULL</v>
      </c>
    </row>
    <row r="100" spans="1:1" x14ac:dyDescent="0.25">
      <c r="A100" s="4" t="str">
        <f>IF(BORRADO3G!H22="","NULL",CONCATENATE("MGAAE:AREA=",BORRADO3G!H22,";"))</f>
        <v>MGAAE:AREA=U55908;</v>
      </c>
    </row>
    <row r="101" spans="1:1" x14ac:dyDescent="0.25">
      <c r="A101" s="4" t="str">
        <f>IF(BORRADO3G!I22="","NULL",CONCATENATE("MGLNE:LOCNO=",BORRADO3G!I22,";"))</f>
        <v>NULL</v>
      </c>
    </row>
    <row r="102" spans="1:1" x14ac:dyDescent="0.25">
      <c r="A102" s="4" t="str">
        <f>IF(BORRADO3G!H23="","NULL",CONCATENATE("MGAAE:AREA=",BORRADO3G!H23,";"))</f>
        <v>MGAAE:AREA=U55909;</v>
      </c>
    </row>
    <row r="103" spans="1:1" x14ac:dyDescent="0.25">
      <c r="A103" s="4" t="str">
        <f>IF(BORRADO3G!I23="","NULL",CONCATENATE("MGLNE:LOCNO=",BORRADO3G!I23,";"))</f>
        <v>NULL</v>
      </c>
    </row>
    <row r="104" spans="1:1" x14ac:dyDescent="0.25">
      <c r="A104" s="4" t="str">
        <f>IF(BORRADO3G!H24="","NULL",CONCATENATE("MGAAE:AREA=",BORRADO3G!H24,";"))</f>
        <v>NULL</v>
      </c>
    </row>
    <row r="105" spans="1:1" x14ac:dyDescent="0.25">
      <c r="A105" s="4" t="str">
        <f>IF(BORRADO3G!I24="","NULL",CONCATENATE("MGLNE:LOCNO=",BORRADO3G!I24,";"))</f>
        <v>NULL</v>
      </c>
    </row>
    <row r="106" spans="1:1" x14ac:dyDescent="0.25">
      <c r="A106" s="4" t="str">
        <f>IF(BORRADO3G!H25="","NULL",CONCATENATE("MGAAE:AREA=",BORRADO3G!H25,";"))</f>
        <v>NULL</v>
      </c>
    </row>
    <row r="107" spans="1:1" x14ac:dyDescent="0.25">
      <c r="A107" s="4" t="str">
        <f>IF(BORRADO3G!I25="","NULL",CONCATENATE("MGLNE:LOCNO=",BORRADO3G!I25,";"))</f>
        <v>NULL</v>
      </c>
    </row>
    <row r="108" spans="1:1" x14ac:dyDescent="0.25">
      <c r="A108" s="4" t="str">
        <f>IF(BORRADO3G!H26="","NULL",CONCATENATE("MGAAE:AREA=",BORRADO3G!H26,";"))</f>
        <v>NULL</v>
      </c>
    </row>
    <row r="109" spans="1:1" x14ac:dyDescent="0.25">
      <c r="A109" s="4" t="str">
        <f>IF(BORRADO3G!I26="","NULL",CONCATENATE("MGLNE:LOCNO=",BORRADO3G!I26,";"))</f>
        <v>NULL</v>
      </c>
    </row>
    <row r="111" spans="1:1" x14ac:dyDescent="0.25">
      <c r="A111" s="4" t="s">
        <v>48</v>
      </c>
    </row>
    <row r="112" spans="1:1" x14ac:dyDescent="0.25">
      <c r="A112" s="4" t="s">
        <v>42</v>
      </c>
    </row>
    <row r="113" spans="1:1" x14ac:dyDescent="0.25">
      <c r="A113" s="4" t="s">
        <v>9</v>
      </c>
    </row>
    <row r="114" spans="1:1" x14ac:dyDescent="0.25">
      <c r="A114" s="4" t="s">
        <v>49</v>
      </c>
    </row>
    <row r="115" spans="1:1" x14ac:dyDescent="0.25">
      <c r="A115" s="4" t="s">
        <v>9</v>
      </c>
    </row>
    <row r="116" spans="1:1" x14ac:dyDescent="0.25">
      <c r="A116" s="4" t="str">
        <f>IF(BORRADO3G!H15="","NULL",CONCATENATE("MGAAE:AREA=",BORRADO3G!H15,";"))</f>
        <v>MGAAE:AREA=U49244;</v>
      </c>
    </row>
    <row r="117" spans="1:1" x14ac:dyDescent="0.25">
      <c r="A117" s="4" t="str">
        <f>IF(BORRADO3G!I15="","NULL",CONCATENATE("MGLNE:LOCNO=",BORRADO3G!I15,";"))</f>
        <v>NULL</v>
      </c>
    </row>
    <row r="118" spans="1:1" x14ac:dyDescent="0.25">
      <c r="A118" s="4" t="str">
        <f>IF(BORRADO3G!H16="","NULL",CONCATENATE("MGAAE:AREA=",BORRADO3G!H16,";"))</f>
        <v>MGAAE:AREA=U55902;</v>
      </c>
    </row>
    <row r="119" spans="1:1" x14ac:dyDescent="0.25">
      <c r="A119" s="4" t="str">
        <f>IF(BORRADO3G!I16="","NULL",CONCATENATE("MGLNE:LOCNO=",BORRADO3G!I16,";"))</f>
        <v>NULL</v>
      </c>
    </row>
    <row r="120" spans="1:1" x14ac:dyDescent="0.25">
      <c r="A120" s="4" t="str">
        <f>IF(BORRADO3G!H17="","NULL",CONCATENATE("MGAAE:AREA=",BORRADO3G!H17,";"))</f>
        <v>MGAAE:AREA=U55903;</v>
      </c>
    </row>
    <row r="121" spans="1:1" x14ac:dyDescent="0.25">
      <c r="A121" s="4" t="str">
        <f>IF(BORRADO3G!I17="","NULL",CONCATENATE("MGLNE:LOCNO=",BORRADO3G!I17,";"))</f>
        <v>NULL</v>
      </c>
    </row>
    <row r="122" spans="1:1" x14ac:dyDescent="0.25">
      <c r="A122" s="4" t="str">
        <f>IF(BORRADO3G!H18="","NULL",CONCATENATE("MGAAE:AREA=",BORRADO3G!H18,";"))</f>
        <v>MGAAE:AREA=U55904;</v>
      </c>
    </row>
    <row r="123" spans="1:1" x14ac:dyDescent="0.25">
      <c r="A123" s="4" t="str">
        <f>IF(BORRADO3G!I18="","NULL",CONCATENATE("MGLNE:LOCNO=",BORRADO3G!I18,";"))</f>
        <v>NULL</v>
      </c>
    </row>
    <row r="124" spans="1:1" x14ac:dyDescent="0.25">
      <c r="A124" s="4" t="str">
        <f>IF(BORRADO3G!H19="","NULL",CONCATENATE("MGAAE:AREA=",BORRADO3G!H19,";"))</f>
        <v>MGAAE:AREA=U55905;</v>
      </c>
    </row>
    <row r="125" spans="1:1" x14ac:dyDescent="0.25">
      <c r="A125" s="4" t="str">
        <f>IF(BORRADO3G!I19="","NULL",CONCATENATE("MGLNE:LOCNO=",BORRADO3G!I19,";"))</f>
        <v>NULL</v>
      </c>
    </row>
    <row r="126" spans="1:1" x14ac:dyDescent="0.25">
      <c r="A126" s="4" t="str">
        <f>IF(BORRADO3G!H20="","NULL",CONCATENATE("MGAAE:AREA=",BORRADO3G!H20,";"))</f>
        <v>MGAAE:AREA=U55906;</v>
      </c>
    </row>
    <row r="127" spans="1:1" x14ac:dyDescent="0.25">
      <c r="A127" s="4" t="str">
        <f>IF(BORRADO3G!I20="","NULL",CONCATENATE("MGLNE:LOCNO=",BORRADO3G!I20,";"))</f>
        <v>NULL</v>
      </c>
    </row>
    <row r="128" spans="1:1" x14ac:dyDescent="0.25">
      <c r="A128" s="4" t="str">
        <f>IF(BORRADO3G!H21="","NULL",CONCATENATE("MGAAE:AREA=",BORRADO3G!H21,";"))</f>
        <v>MGAAE:AREA=U55907;</v>
      </c>
    </row>
    <row r="129" spans="1:1" x14ac:dyDescent="0.25">
      <c r="A129" s="4" t="str">
        <f>IF(BORRADO3G!I21="","NULL",CONCATENATE("MGLNE:LOCNO=",BORRADO3G!I21,";"))</f>
        <v>NULL</v>
      </c>
    </row>
    <row r="130" spans="1:1" x14ac:dyDescent="0.25">
      <c r="A130" s="4" t="str">
        <f>IF(BORRADO3G!H22="","NULL",CONCATENATE("MGAAE:AREA=",BORRADO3G!H22,";"))</f>
        <v>MGAAE:AREA=U55908;</v>
      </c>
    </row>
    <row r="131" spans="1:1" x14ac:dyDescent="0.25">
      <c r="A131" s="4" t="str">
        <f>IF(BORRADO3G!I22="","NULL",CONCATENATE("MGLNE:LOCNO=",BORRADO3G!I22,";"))</f>
        <v>NULL</v>
      </c>
    </row>
    <row r="132" spans="1:1" x14ac:dyDescent="0.25">
      <c r="A132" s="4" t="str">
        <f>IF(BORRADO3G!H23="","NULL",CONCATENATE("MGAAE:AREA=",BORRADO3G!H23,";"))</f>
        <v>MGAAE:AREA=U55909;</v>
      </c>
    </row>
    <row r="133" spans="1:1" x14ac:dyDescent="0.25">
      <c r="A133" s="4" t="str">
        <f>IF(BORRADO3G!I23="","NULL",CONCATENATE("MGLNE:LOCNO=",BORRADO3G!I23,";"))</f>
        <v>NULL</v>
      </c>
    </row>
    <row r="134" spans="1:1" x14ac:dyDescent="0.25">
      <c r="A134" s="4" t="str">
        <f>IF(BORRADO3G!H24="","NULL",CONCATENATE("MGAAE:AREA=",BORRADO3G!H24,";"))</f>
        <v>NULL</v>
      </c>
    </row>
    <row r="135" spans="1:1" x14ac:dyDescent="0.25">
      <c r="A135" s="4" t="str">
        <f>IF(BORRADO3G!I24="","NULL",CONCATENATE("MGLNE:LOCNO=",BORRADO3G!I24,";"))</f>
        <v>NULL</v>
      </c>
    </row>
    <row r="136" spans="1:1" x14ac:dyDescent="0.25">
      <c r="A136" s="4" t="str">
        <f>IF(BORRADO3G!H25="","NULL",CONCATENATE("MGAAE:AREA=",BORRADO3G!H25,";"))</f>
        <v>NULL</v>
      </c>
    </row>
    <row r="137" spans="1:1" x14ac:dyDescent="0.25">
      <c r="A137" s="4" t="str">
        <f>IF(BORRADO3G!I25="","NULL",CONCATENATE("MGLNE:LOCNO=",BORRADO3G!I25,";"))</f>
        <v>NULL</v>
      </c>
    </row>
    <row r="138" spans="1:1" x14ac:dyDescent="0.25">
      <c r="A138" s="4" t="str">
        <f>IF(BORRADO3G!H26="","NULL",CONCATENATE("MGAAE:AREA=",BORRADO3G!H26,";"))</f>
        <v>NULL</v>
      </c>
    </row>
    <row r="139" spans="1:1" x14ac:dyDescent="0.25">
      <c r="A139" s="4" t="str">
        <f>IF(BORRADO3G!I26="","NULL",CONCATENATE("MGLNE:LOCNO=",BORRADO3G!I26,";"))</f>
        <v>NULL</v>
      </c>
    </row>
    <row r="141" spans="1:1" x14ac:dyDescent="0.25">
      <c r="A141" s="4" t="s">
        <v>50</v>
      </c>
    </row>
    <row r="142" spans="1:1" x14ac:dyDescent="0.25">
      <c r="A142" s="4" t="s">
        <v>42</v>
      </c>
    </row>
    <row r="143" spans="1:1" x14ac:dyDescent="0.25">
      <c r="A143" s="4" t="s">
        <v>9</v>
      </c>
    </row>
    <row r="144" spans="1:1" x14ac:dyDescent="0.25">
      <c r="A144" s="4" t="s">
        <v>51</v>
      </c>
    </row>
    <row r="145" spans="1:1" x14ac:dyDescent="0.25">
      <c r="A145" s="4" t="s">
        <v>82</v>
      </c>
    </row>
    <row r="146" spans="1:1" x14ac:dyDescent="0.25">
      <c r="A146" s="4" t="str">
        <f>IF(BORRADO3G!H15="","NULL",CONCATENATE("MGAAE:AREA=",BORRADO3G!H15,";"))</f>
        <v>MGAAE:AREA=U49244;</v>
      </c>
    </row>
    <row r="147" spans="1:1" x14ac:dyDescent="0.25">
      <c r="A147" s="4" t="str">
        <f>IF(BORRADO3G!I15="","NULL",CONCATENATE("MGLNE:LOCNO=",BORRADO3G!I15,";"))</f>
        <v>NULL</v>
      </c>
    </row>
    <row r="148" spans="1:1" x14ac:dyDescent="0.25">
      <c r="A148" s="4" t="str">
        <f>IF(BORRADO3G!H16="","NULL",CONCATENATE("MGAAE:AREA=",BORRADO3G!H16,";"))</f>
        <v>MGAAE:AREA=U55902;</v>
      </c>
    </row>
    <row r="149" spans="1:1" x14ac:dyDescent="0.25">
      <c r="A149" s="4" t="str">
        <f>IF(BORRADO3G!I16="","NULL",CONCATENATE("MGLNE:LOCNO=",BORRADO3G!I16,";"))</f>
        <v>NULL</v>
      </c>
    </row>
    <row r="150" spans="1:1" x14ac:dyDescent="0.25">
      <c r="A150" s="4" t="str">
        <f>IF(BORRADO3G!H17="","NULL",CONCATENATE("MGAAE:AREA=",BORRADO3G!H17,";"))</f>
        <v>MGAAE:AREA=U55903;</v>
      </c>
    </row>
    <row r="151" spans="1:1" x14ac:dyDescent="0.25">
      <c r="A151" s="4" t="str">
        <f>IF(BORRADO3G!I17="","NULL",CONCATENATE("MGLNE:LOCNO=",BORRADO3G!I17,";"))</f>
        <v>NULL</v>
      </c>
    </row>
    <row r="152" spans="1:1" x14ac:dyDescent="0.25">
      <c r="A152" s="4" t="str">
        <f>IF(BORRADO3G!H18="","NULL",CONCATENATE("MGAAE:AREA=",BORRADO3G!H18,";"))</f>
        <v>MGAAE:AREA=U55904;</v>
      </c>
    </row>
    <row r="153" spans="1:1" x14ac:dyDescent="0.25">
      <c r="A153" s="4" t="str">
        <f>IF(BORRADO3G!I18="","NULL",CONCATENATE("MGLNE:LOCNO=",BORRADO3G!I18,";"))</f>
        <v>NULL</v>
      </c>
    </row>
    <row r="154" spans="1:1" x14ac:dyDescent="0.25">
      <c r="A154" s="4" t="str">
        <f>IF(BORRADO3G!H19="","NULL",CONCATENATE("MGAAE:AREA=",BORRADO3G!H19,";"))</f>
        <v>MGAAE:AREA=U55905;</v>
      </c>
    </row>
    <row r="155" spans="1:1" x14ac:dyDescent="0.25">
      <c r="A155" s="4" t="str">
        <f>IF(BORRADO3G!I19="","NULL",CONCATENATE("MGLNE:LOCNO=",BORRADO3G!I19,";"))</f>
        <v>NULL</v>
      </c>
    </row>
    <row r="156" spans="1:1" x14ac:dyDescent="0.25">
      <c r="A156" s="4" t="str">
        <f>IF(BORRADO3G!H20="","NULL",CONCATENATE("MGAAE:AREA=",BORRADO3G!H20,";"))</f>
        <v>MGAAE:AREA=U55906;</v>
      </c>
    </row>
    <row r="157" spans="1:1" x14ac:dyDescent="0.25">
      <c r="A157" s="4" t="str">
        <f>IF(BORRADO3G!I20="","NULL",CONCATENATE("MGLNE:LOCNO=",BORRADO3G!I20,";"))</f>
        <v>NULL</v>
      </c>
    </row>
    <row r="158" spans="1:1" x14ac:dyDescent="0.25">
      <c r="A158" s="4" t="str">
        <f>IF(BORRADO3G!H21="","NULL",CONCATENATE("MGAAE:AREA=",BORRADO3G!H21,";"))</f>
        <v>MGAAE:AREA=U55907;</v>
      </c>
    </row>
    <row r="159" spans="1:1" x14ac:dyDescent="0.25">
      <c r="A159" s="4" t="str">
        <f>IF(BORRADO3G!I21="","NULL",CONCATENATE("MGLNE:LOCNO=",BORRADO3G!I21,";"))</f>
        <v>NULL</v>
      </c>
    </row>
    <row r="160" spans="1:1" x14ac:dyDescent="0.25">
      <c r="A160" s="4" t="str">
        <f>IF(BORRADO3G!H22="","NULL",CONCATENATE("MGAAE:AREA=",BORRADO3G!H22,";"))</f>
        <v>MGAAE:AREA=U55908;</v>
      </c>
    </row>
    <row r="161" spans="1:1" x14ac:dyDescent="0.25">
      <c r="A161" s="4" t="str">
        <f>IF(BORRADO3G!I22="","NULL",CONCATENATE("MGLNE:LOCNO=",BORRADO3G!I22,";"))</f>
        <v>NULL</v>
      </c>
    </row>
    <row r="162" spans="1:1" x14ac:dyDescent="0.25">
      <c r="A162" s="4" t="str">
        <f>IF(BORRADO3G!H23="","NULL",CONCATENATE("MGAAE:AREA=",BORRADO3G!H23,";"))</f>
        <v>MGAAE:AREA=U55909;</v>
      </c>
    </row>
    <row r="163" spans="1:1" x14ac:dyDescent="0.25">
      <c r="A163" s="4" t="str">
        <f>IF(BORRADO3G!I23="","NULL",CONCATENATE("MGLNE:LOCNO=",BORRADO3G!I23,";"))</f>
        <v>NULL</v>
      </c>
    </row>
    <row r="164" spans="1:1" x14ac:dyDescent="0.25">
      <c r="A164" s="4" t="str">
        <f>IF(BORRADO3G!H24="","NULL",CONCATENATE("MGAAE:AREA=",BORRADO3G!H24,";"))</f>
        <v>NULL</v>
      </c>
    </row>
    <row r="165" spans="1:1" x14ac:dyDescent="0.25">
      <c r="A165" s="4" t="str">
        <f>IF(BORRADO3G!I24="","NULL",CONCATENATE("MGLNE:LOCNO=",BORRADO3G!I24,";"))</f>
        <v>NULL</v>
      </c>
    </row>
    <row r="166" spans="1:1" x14ac:dyDescent="0.25">
      <c r="A166" s="4" t="str">
        <f>IF(BORRADO3G!H25="","NULL",CONCATENATE("MGAAE:AREA=",BORRADO3G!H25,";"))</f>
        <v>NULL</v>
      </c>
    </row>
    <row r="167" spans="1:1" x14ac:dyDescent="0.25">
      <c r="A167" s="4" t="str">
        <f>IF(BORRADO3G!I25="","NULL",CONCATENATE("MGLNE:LOCNO=",BORRADO3G!I25,";"))</f>
        <v>NULL</v>
      </c>
    </row>
    <row r="168" spans="1:1" x14ac:dyDescent="0.25">
      <c r="A168" s="4" t="str">
        <f>IF(BORRADO3G!H26="","NULL",CONCATENATE("MGAAE:AREA=",BORRADO3G!H26,";"))</f>
        <v>NULL</v>
      </c>
    </row>
    <row r="169" spans="1:1" x14ac:dyDescent="0.25">
      <c r="A169" s="4" t="str">
        <f>IF(BORRADO3G!I26="","NULL",CONCATENATE("MGLNE:LOCNO=",BORRADO3G!I26,";"))</f>
        <v>NULL</v>
      </c>
    </row>
    <row r="171" spans="1:1" x14ac:dyDescent="0.25">
      <c r="A171" s="4" t="s">
        <v>52</v>
      </c>
    </row>
    <row r="172" spans="1:1" x14ac:dyDescent="0.25">
      <c r="A172" s="4" t="s">
        <v>42</v>
      </c>
    </row>
    <row r="173" spans="1:1" x14ac:dyDescent="0.25">
      <c r="A173" s="4" t="s">
        <v>9</v>
      </c>
    </row>
    <row r="174" spans="1:1" x14ac:dyDescent="0.25">
      <c r="A174" s="4" t="s">
        <v>53</v>
      </c>
    </row>
    <row r="175" spans="1:1" x14ac:dyDescent="0.25">
      <c r="A175" s="4" t="s">
        <v>9</v>
      </c>
    </row>
    <row r="176" spans="1:1" x14ac:dyDescent="0.25">
      <c r="A176" s="4" t="str">
        <f>IF(BORRADO3G!H15="","NULL",CONCATENATE("MGAAE:AREA=",BORRADO3G!H15,";"))</f>
        <v>MGAAE:AREA=U49244;</v>
      </c>
    </row>
    <row r="177" spans="1:1" x14ac:dyDescent="0.25">
      <c r="A177" s="4" t="str">
        <f>IF(BORRADO3G!I15="","NULL",CONCATENATE("MGLNE:LOCNO=",BORRADO3G!I15,";"))</f>
        <v>NULL</v>
      </c>
    </row>
    <row r="178" spans="1:1" x14ac:dyDescent="0.25">
      <c r="A178" s="4" t="str">
        <f>IF(BORRADO3G!H16="","NULL",CONCATENATE("MGAAE:AREA=",BORRADO3G!H16,";"))</f>
        <v>MGAAE:AREA=U55902;</v>
      </c>
    </row>
    <row r="179" spans="1:1" x14ac:dyDescent="0.25">
      <c r="A179" s="4" t="str">
        <f>IF(BORRADO3G!I16="","NULL",CONCATENATE("MGLNE:LOCNO=",BORRADO3G!I16,";"))</f>
        <v>NULL</v>
      </c>
    </row>
    <row r="180" spans="1:1" x14ac:dyDescent="0.25">
      <c r="A180" s="4" t="str">
        <f>IF(BORRADO3G!H17="","NULL",CONCATENATE("MGAAE:AREA=",BORRADO3G!H17,";"))</f>
        <v>MGAAE:AREA=U55903;</v>
      </c>
    </row>
    <row r="181" spans="1:1" x14ac:dyDescent="0.25">
      <c r="A181" s="4" t="str">
        <f>IF(BORRADO3G!I17="","NULL",CONCATENATE("MGLNE:LOCNO=",BORRADO3G!I17,";"))</f>
        <v>NULL</v>
      </c>
    </row>
    <row r="182" spans="1:1" x14ac:dyDescent="0.25">
      <c r="A182" s="4" t="str">
        <f>IF(BORRADO3G!H18="","NULL",CONCATENATE("MGAAE:AREA=",BORRADO3G!H18,";"))</f>
        <v>MGAAE:AREA=U55904;</v>
      </c>
    </row>
    <row r="183" spans="1:1" x14ac:dyDescent="0.25">
      <c r="A183" s="4" t="str">
        <f>IF(BORRADO3G!I18="","NULL",CONCATENATE("MGLNE:LOCNO=",BORRADO3G!I18,";"))</f>
        <v>NULL</v>
      </c>
    </row>
    <row r="184" spans="1:1" x14ac:dyDescent="0.25">
      <c r="A184" s="4" t="str">
        <f>IF(BORRADO3G!H19="","NULL",CONCATENATE("MGAAE:AREA=",BORRADO3G!H19,";"))</f>
        <v>MGAAE:AREA=U55905;</v>
      </c>
    </row>
    <row r="185" spans="1:1" x14ac:dyDescent="0.25">
      <c r="A185" s="4" t="str">
        <f>IF(BORRADO3G!I19="","NULL",CONCATENATE("MGLNE:LOCNO=",BORRADO3G!I19,";"))</f>
        <v>NULL</v>
      </c>
    </row>
    <row r="186" spans="1:1" x14ac:dyDescent="0.25">
      <c r="A186" s="4" t="str">
        <f>IF(BORRADO3G!H20="","NULL",CONCATENATE("MGAAE:AREA=",BORRADO3G!H20,";"))</f>
        <v>MGAAE:AREA=U55906;</v>
      </c>
    </row>
    <row r="187" spans="1:1" x14ac:dyDescent="0.25">
      <c r="A187" s="4" t="str">
        <f>IF(BORRADO3G!I20="","NULL",CONCATENATE("MGLNE:LOCNO=",BORRADO3G!I20,";"))</f>
        <v>NULL</v>
      </c>
    </row>
    <row r="188" spans="1:1" x14ac:dyDescent="0.25">
      <c r="A188" s="4" t="str">
        <f>IF(BORRADO3G!H21="","NULL",CONCATENATE("MGAAE:AREA=",BORRADO3G!H21,";"))</f>
        <v>MGAAE:AREA=U55907;</v>
      </c>
    </row>
    <row r="189" spans="1:1" x14ac:dyDescent="0.25">
      <c r="A189" s="4" t="str">
        <f>IF(BORRADO3G!I21="","NULL",CONCATENATE("MGLNE:LOCNO=",BORRADO3G!I21,";"))</f>
        <v>NULL</v>
      </c>
    </row>
    <row r="190" spans="1:1" x14ac:dyDescent="0.25">
      <c r="A190" s="4" t="str">
        <f>IF(BORRADO3G!H22="","NULL",CONCATENATE("MGAAE:AREA=",BORRADO3G!H22,";"))</f>
        <v>MGAAE:AREA=U55908;</v>
      </c>
    </row>
    <row r="191" spans="1:1" x14ac:dyDescent="0.25">
      <c r="A191" s="4" t="str">
        <f>IF(BORRADO3G!I22="","NULL",CONCATENATE("MGLNE:LOCNO=",BORRADO3G!I22,";"))</f>
        <v>NULL</v>
      </c>
    </row>
    <row r="192" spans="1:1" x14ac:dyDescent="0.25">
      <c r="A192" s="4" t="str">
        <f>IF(BORRADO3G!H23="","NULL",CONCATENATE("MGAAE:AREA=",BORRADO3G!H23,";"))</f>
        <v>MGAAE:AREA=U55909;</v>
      </c>
    </row>
    <row r="193" spans="1:1" x14ac:dyDescent="0.25">
      <c r="A193" s="4" t="str">
        <f>IF(BORRADO3G!I23="","NULL",CONCATENATE("MGLNE:LOCNO=",BORRADO3G!I23,";"))</f>
        <v>NULL</v>
      </c>
    </row>
    <row r="194" spans="1:1" x14ac:dyDescent="0.25">
      <c r="A194" s="4" t="str">
        <f>IF(BORRADO3G!H24="","NULL",CONCATENATE("MGAAE:AREA=",BORRADO3G!H24,";"))</f>
        <v>NULL</v>
      </c>
    </row>
    <row r="195" spans="1:1" x14ac:dyDescent="0.25">
      <c r="A195" s="4" t="str">
        <f>IF(BORRADO3G!I24="","NULL",CONCATENATE("MGLNE:LOCNO=",BORRADO3G!I24,";"))</f>
        <v>NULL</v>
      </c>
    </row>
    <row r="196" spans="1:1" x14ac:dyDescent="0.25">
      <c r="A196" s="4" t="str">
        <f>IF(BORRADO3G!H25="","NULL",CONCATENATE("MGAAE:AREA=",BORRADO3G!H25,";"))</f>
        <v>NULL</v>
      </c>
    </row>
    <row r="197" spans="1:1" x14ac:dyDescent="0.25">
      <c r="A197" s="4" t="str">
        <f>IF(BORRADO3G!I25="","NULL",CONCATENATE("MGLNE:LOCNO=",BORRADO3G!I25,";"))</f>
        <v>NULL</v>
      </c>
    </row>
    <row r="198" spans="1:1" x14ac:dyDescent="0.25">
      <c r="A198" s="4" t="str">
        <f>IF(BORRADO3G!H26="","NULL",CONCATENATE("MGAAE:AREA=",BORRADO3G!H26,";"))</f>
        <v>NULL</v>
      </c>
    </row>
    <row r="199" spans="1:1" x14ac:dyDescent="0.25">
      <c r="A199" s="4" t="str">
        <f>IF(BORRADO3G!I26="","NULL",CONCATENATE("MGLNE:LOCNO=",BORRADO3G!I26,";"))</f>
        <v>NULL</v>
      </c>
    </row>
    <row r="201" spans="1:1" x14ac:dyDescent="0.25">
      <c r="A201" s="4" t="s">
        <v>41</v>
      </c>
    </row>
    <row r="202" spans="1:1" x14ac:dyDescent="0.25">
      <c r="A202" s="4" t="s">
        <v>42</v>
      </c>
    </row>
    <row r="203" spans="1:1" x14ac:dyDescent="0.25">
      <c r="A203" s="4" t="s">
        <v>9</v>
      </c>
    </row>
    <row r="204" spans="1:1" x14ac:dyDescent="0.25">
      <c r="A204" s="4" t="s">
        <v>43</v>
      </c>
    </row>
    <row r="205" spans="1:1" x14ac:dyDescent="0.25">
      <c r="A205" s="4" t="s">
        <v>9</v>
      </c>
    </row>
    <row r="206" spans="1:1" x14ac:dyDescent="0.25">
      <c r="A206" s="4" t="str">
        <f>IF(BORRADO3G!H15="","NULL",CONCATENATE("MGAAE:AREA=",BORRADO3G!H15,";"))</f>
        <v>MGAAE:AREA=U49244;</v>
      </c>
    </row>
    <row r="207" spans="1:1" x14ac:dyDescent="0.25">
      <c r="A207" s="4" t="str">
        <f>IF(BORRADO3G!I15="","NULL",CONCATENATE("MGLNE:LOCNO=",BORRADO3G!I15,";"))</f>
        <v>NULL</v>
      </c>
    </row>
    <row r="208" spans="1:1" x14ac:dyDescent="0.25">
      <c r="A208" s="4" t="str">
        <f>IF(BORRADO3G!H16="","NULL",CONCATENATE("MGAAE:AREA=",BORRADO3G!H16,";"))</f>
        <v>MGAAE:AREA=U55902;</v>
      </c>
    </row>
    <row r="209" spans="1:1" x14ac:dyDescent="0.25">
      <c r="A209" s="4" t="str">
        <f>IF(BORRADO3G!I16="","NULL",CONCATENATE("MGLNE:LOCNO=",BORRADO3G!I16,";"))</f>
        <v>NULL</v>
      </c>
    </row>
    <row r="210" spans="1:1" x14ac:dyDescent="0.25">
      <c r="A210" s="4" t="str">
        <f>IF(BORRADO3G!H17="","NULL",CONCATENATE("MGAAE:AREA=",BORRADO3G!H17,";"))</f>
        <v>MGAAE:AREA=U55903;</v>
      </c>
    </row>
    <row r="211" spans="1:1" x14ac:dyDescent="0.25">
      <c r="A211" s="4" t="str">
        <f>IF(BORRADO3G!I17="","NULL",CONCATENATE("MGLNE:LOCNO=",BORRADO3G!I17,";"))</f>
        <v>NULL</v>
      </c>
    </row>
    <row r="212" spans="1:1" x14ac:dyDescent="0.25">
      <c r="A212" s="4" t="str">
        <f>IF(BORRADO3G!H18="","NULL",CONCATENATE("MGAAE:AREA=",BORRADO3G!H18,";"))</f>
        <v>MGAAE:AREA=U55904;</v>
      </c>
    </row>
    <row r="213" spans="1:1" x14ac:dyDescent="0.25">
      <c r="A213" s="4" t="str">
        <f>IF(BORRADO3G!I18="","NULL",CONCATENATE("MGLNE:LOCNO=",BORRADO3G!I18,";"))</f>
        <v>NULL</v>
      </c>
    </row>
    <row r="214" spans="1:1" x14ac:dyDescent="0.25">
      <c r="A214" s="4" t="str">
        <f>IF(BORRADO3G!H19="","NULL",CONCATENATE("MGAAE:AREA=",BORRADO3G!H19,";"))</f>
        <v>MGAAE:AREA=U55905;</v>
      </c>
    </row>
    <row r="215" spans="1:1" x14ac:dyDescent="0.25">
      <c r="A215" s="4" t="str">
        <f>IF(BORRADO3G!I19="","NULL",CONCATENATE("MGLNE:LOCNO=",BORRADO3G!I19,";"))</f>
        <v>NULL</v>
      </c>
    </row>
    <row r="216" spans="1:1" x14ac:dyDescent="0.25">
      <c r="A216" s="4" t="str">
        <f>IF(BORRADO3G!H20="","NULL",CONCATENATE("MGAAE:AREA=",BORRADO3G!H20,";"))</f>
        <v>MGAAE:AREA=U55906;</v>
      </c>
    </row>
    <row r="217" spans="1:1" x14ac:dyDescent="0.25">
      <c r="A217" s="4" t="str">
        <f>IF(BORRADO3G!I20="","NULL",CONCATENATE("MGLNE:LOCNO=",BORRADO3G!I20,";"))</f>
        <v>NULL</v>
      </c>
    </row>
    <row r="218" spans="1:1" x14ac:dyDescent="0.25">
      <c r="A218" s="4" t="str">
        <f>IF(BORRADO3G!H21="","NULL",CONCATENATE("MGAAE:AREA=",BORRADO3G!H21,";"))</f>
        <v>MGAAE:AREA=U55907;</v>
      </c>
    </row>
    <row r="219" spans="1:1" x14ac:dyDescent="0.25">
      <c r="A219" s="4" t="str">
        <f>IF(BORRADO3G!I21="","NULL",CONCATENATE("MGLNE:LOCNO=",BORRADO3G!I21,";"))</f>
        <v>NULL</v>
      </c>
    </row>
    <row r="220" spans="1:1" x14ac:dyDescent="0.25">
      <c r="A220" s="4" t="str">
        <f>IF(BORRADO3G!H22="","NULL",CONCATENATE("MGAAE:AREA=",BORRADO3G!H22,";"))</f>
        <v>MGAAE:AREA=U55908;</v>
      </c>
    </row>
    <row r="221" spans="1:1" x14ac:dyDescent="0.25">
      <c r="A221" s="4" t="str">
        <f>IF(BORRADO3G!I22="","NULL",CONCATENATE("MGLNE:LOCNO=",BORRADO3G!I22,";"))</f>
        <v>NULL</v>
      </c>
    </row>
    <row r="222" spans="1:1" x14ac:dyDescent="0.25">
      <c r="A222" s="4" t="str">
        <f>IF(BORRADO3G!H23="","NULL",CONCATENATE("MGAAE:AREA=",BORRADO3G!H23,";"))</f>
        <v>MGAAE:AREA=U55909;</v>
      </c>
    </row>
    <row r="223" spans="1:1" x14ac:dyDescent="0.25">
      <c r="A223" s="4" t="str">
        <f>IF(BORRADO3G!I23="","NULL",CONCATENATE("MGLNE:LOCNO=",BORRADO3G!I23,";"))</f>
        <v>NULL</v>
      </c>
    </row>
    <row r="224" spans="1:1" x14ac:dyDescent="0.25">
      <c r="A224" s="4" t="str">
        <f>IF(BORRADO3G!H24="","NULL",CONCATENATE("MGAAE:AREA=",BORRADO3G!H24,";"))</f>
        <v>NULL</v>
      </c>
    </row>
    <row r="225" spans="1:1" x14ac:dyDescent="0.25">
      <c r="A225" s="4" t="str">
        <f>IF(BORRADO3G!I24="","NULL",CONCATENATE("MGLNE:LOCNO=",BORRADO3G!I24,";"))</f>
        <v>NULL</v>
      </c>
    </row>
    <row r="226" spans="1:1" x14ac:dyDescent="0.25">
      <c r="A226" s="4" t="str">
        <f>IF(BORRADO3G!H25="","NULL",CONCATENATE("MGAAE:AREA=",BORRADO3G!H25,";"))</f>
        <v>NULL</v>
      </c>
    </row>
    <row r="227" spans="1:1" x14ac:dyDescent="0.25">
      <c r="A227" s="4" t="str">
        <f>IF(BORRADO3G!I25="","NULL",CONCATENATE("MGLNE:LOCNO=",BORRADO3G!I25,";"))</f>
        <v>NULL</v>
      </c>
    </row>
    <row r="228" spans="1:1" x14ac:dyDescent="0.25">
      <c r="A228" s="4" t="str">
        <f>IF(BORRADO3G!H26="","NULL",CONCATENATE("MGAAE:AREA=",BORRADO3G!H26,";"))</f>
        <v>NULL</v>
      </c>
    </row>
    <row r="229" spans="1:1" x14ac:dyDescent="0.25">
      <c r="A229" s="4" t="str">
        <f>IF(BORRADO3G!I26="","NULL",CONCATENATE("MGLNE:LOCNO=",BORRADO3G!I26,";"))</f>
        <v>NULL</v>
      </c>
    </row>
    <row r="231" spans="1:1" x14ac:dyDescent="0.25">
      <c r="A231" s="4" t="s">
        <v>54</v>
      </c>
    </row>
    <row r="232" spans="1:1" x14ac:dyDescent="0.25">
      <c r="A232" s="4" t="s">
        <v>42</v>
      </c>
    </row>
    <row r="233" spans="1:1" x14ac:dyDescent="0.25">
      <c r="A233" s="4" t="s">
        <v>9</v>
      </c>
    </row>
    <row r="234" spans="1:1" x14ac:dyDescent="0.25">
      <c r="A234" s="4" t="s">
        <v>55</v>
      </c>
    </row>
    <row r="235" spans="1:1" x14ac:dyDescent="0.25">
      <c r="A235" s="4" t="s">
        <v>9</v>
      </c>
    </row>
    <row r="236" spans="1:1" x14ac:dyDescent="0.25">
      <c r="A236" s="4" t="str">
        <f>IF(BORRADO3G!H15="","NULL",CONCATENATE("MGAAE:AREA=",BORRADO3G!H15,";"))</f>
        <v>MGAAE:AREA=U49244;</v>
      </c>
    </row>
    <row r="237" spans="1:1" x14ac:dyDescent="0.25">
      <c r="A237" s="4" t="str">
        <f>IF(BORRADO3G!I15="","NULL",CONCATENATE("MGLNE:LOCNO=",BORRADO3G!I15,";"))</f>
        <v>NULL</v>
      </c>
    </row>
    <row r="238" spans="1:1" x14ac:dyDescent="0.25">
      <c r="A238" s="4" t="str">
        <f>IF(BORRADO3G!H16="","NULL",CONCATENATE("MGAAE:AREA=",BORRADO3G!H16,";"))</f>
        <v>MGAAE:AREA=U55902;</v>
      </c>
    </row>
    <row r="239" spans="1:1" x14ac:dyDescent="0.25">
      <c r="A239" s="4" t="str">
        <f>IF(BORRADO3G!I16="","NULL",CONCATENATE("MGLNE:LOCNO=",BORRADO3G!I16,";"))</f>
        <v>NULL</v>
      </c>
    </row>
    <row r="240" spans="1:1" x14ac:dyDescent="0.25">
      <c r="A240" s="4" t="str">
        <f>IF(BORRADO3G!H17="","NULL",CONCATENATE("MGAAE:AREA=",BORRADO3G!H17,";"))</f>
        <v>MGAAE:AREA=U55903;</v>
      </c>
    </row>
    <row r="241" spans="1:1" x14ac:dyDescent="0.25">
      <c r="A241" s="4" t="str">
        <f>IF(BORRADO3G!I17="","NULL",CONCATENATE("MGLNE:LOCNO=",BORRADO3G!I17,";"))</f>
        <v>NULL</v>
      </c>
    </row>
    <row r="242" spans="1:1" x14ac:dyDescent="0.25">
      <c r="A242" s="4" t="str">
        <f>IF(BORRADO3G!H18="","NULL",CONCATENATE("MGAAE:AREA=",BORRADO3G!H18,";"))</f>
        <v>MGAAE:AREA=U55904;</v>
      </c>
    </row>
    <row r="243" spans="1:1" x14ac:dyDescent="0.25">
      <c r="A243" s="4" t="str">
        <f>IF(BORRADO3G!I18="","NULL",CONCATENATE("MGLNE:LOCNO=",BORRADO3G!I18,";"))</f>
        <v>NULL</v>
      </c>
    </row>
    <row r="244" spans="1:1" x14ac:dyDescent="0.25">
      <c r="A244" s="4" t="str">
        <f>IF(BORRADO3G!H19="","NULL",CONCATENATE("MGAAE:AREA=",BORRADO3G!H19,";"))</f>
        <v>MGAAE:AREA=U55905;</v>
      </c>
    </row>
    <row r="245" spans="1:1" x14ac:dyDescent="0.25">
      <c r="A245" s="4" t="str">
        <f>IF(BORRADO3G!I19="","NULL",CONCATENATE("MGLNE:LOCNO=",BORRADO3G!I19,";"))</f>
        <v>NULL</v>
      </c>
    </row>
    <row r="246" spans="1:1" x14ac:dyDescent="0.25">
      <c r="A246" s="4" t="str">
        <f>IF(BORRADO3G!H20="","NULL",CONCATENATE("MGAAE:AREA=",BORRADO3G!H20,";"))</f>
        <v>MGAAE:AREA=U55906;</v>
      </c>
    </row>
    <row r="247" spans="1:1" x14ac:dyDescent="0.25">
      <c r="A247" s="4" t="str">
        <f>IF(BORRADO3G!I20="","NULL",CONCATENATE("MGLNE:LOCNO=",BORRADO3G!I20,";"))</f>
        <v>NULL</v>
      </c>
    </row>
    <row r="248" spans="1:1" x14ac:dyDescent="0.25">
      <c r="A248" s="4" t="str">
        <f>IF(BORRADO3G!H21="","NULL",CONCATENATE("MGAAE:AREA=",BORRADO3G!H21,";"))</f>
        <v>MGAAE:AREA=U55907;</v>
      </c>
    </row>
    <row r="249" spans="1:1" x14ac:dyDescent="0.25">
      <c r="A249" s="4" t="str">
        <f>IF(BORRADO3G!I21="","NULL",CONCATENATE("MGLNE:LOCNO=",BORRADO3G!I21,";"))</f>
        <v>NULL</v>
      </c>
    </row>
    <row r="250" spans="1:1" x14ac:dyDescent="0.25">
      <c r="A250" s="4" t="str">
        <f>IF(BORRADO3G!H22="","NULL",CONCATENATE("MGAAE:AREA=",BORRADO3G!H22,";"))</f>
        <v>MGAAE:AREA=U55908;</v>
      </c>
    </row>
    <row r="251" spans="1:1" x14ac:dyDescent="0.25">
      <c r="A251" s="4" t="str">
        <f>IF(BORRADO3G!I22="","NULL",CONCATENATE("MGLNE:LOCNO=",BORRADO3G!I22,";"))</f>
        <v>NULL</v>
      </c>
    </row>
    <row r="252" spans="1:1" x14ac:dyDescent="0.25">
      <c r="A252" s="4" t="str">
        <f>IF(BORRADO3G!H23="","NULL",CONCATENATE("MGAAE:AREA=",BORRADO3G!H23,";"))</f>
        <v>MGAAE:AREA=U55909;</v>
      </c>
    </row>
    <row r="253" spans="1:1" x14ac:dyDescent="0.25">
      <c r="A253" s="4" t="str">
        <f>IF(BORRADO3G!I23="","NULL",CONCATENATE("MGLNE:LOCNO=",BORRADO3G!I23,";"))</f>
        <v>NULL</v>
      </c>
    </row>
    <row r="254" spans="1:1" x14ac:dyDescent="0.25">
      <c r="A254" s="4" t="str">
        <f>IF(BORRADO3G!H24="","NULL",CONCATENATE("MGAAE:AREA=",BORRADO3G!H24,";"))</f>
        <v>NULL</v>
      </c>
    </row>
    <row r="255" spans="1:1" x14ac:dyDescent="0.25">
      <c r="A255" s="4" t="str">
        <f>IF(BORRADO3G!I24="","NULL",CONCATENATE("MGLNE:LOCNO=",BORRADO3G!I24,";"))</f>
        <v>NULL</v>
      </c>
    </row>
    <row r="256" spans="1:1" x14ac:dyDescent="0.25">
      <c r="A256" s="4" t="str">
        <f>IF(BORRADO3G!H25="","NULL",CONCATENATE("MGAAE:AREA=",BORRADO3G!H25,";"))</f>
        <v>NULL</v>
      </c>
    </row>
    <row r="257" spans="1:1" x14ac:dyDescent="0.25">
      <c r="A257" s="4" t="str">
        <f>IF(BORRADO3G!I25="","NULL",CONCATENATE("MGLNE:LOCNO=",BORRADO3G!I25,";"))</f>
        <v>NULL</v>
      </c>
    </row>
    <row r="258" spans="1:1" x14ac:dyDescent="0.25">
      <c r="A258" s="4" t="str">
        <f>IF(BORRADO3G!H26="","NULL",CONCATENATE("MGAAE:AREA=",BORRADO3G!H26,";"))</f>
        <v>NULL</v>
      </c>
    </row>
    <row r="259" spans="1:1" x14ac:dyDescent="0.25">
      <c r="A259" s="4" t="str">
        <f>IF(BORRADO3G!I26="","NULL",CONCATENATE("MGLNE:LOCNO=",BORRADO3G!I26,";"))</f>
        <v>NULL</v>
      </c>
    </row>
    <row r="261" spans="1:1" x14ac:dyDescent="0.25">
      <c r="A261" s="4" t="s">
        <v>56</v>
      </c>
    </row>
    <row r="262" spans="1:1" x14ac:dyDescent="0.25">
      <c r="A262" s="4" t="s">
        <v>42</v>
      </c>
    </row>
    <row r="263" spans="1:1" x14ac:dyDescent="0.25">
      <c r="A263" s="4" t="s">
        <v>9</v>
      </c>
    </row>
    <row r="264" spans="1:1" x14ac:dyDescent="0.25">
      <c r="A264" s="4" t="s">
        <v>57</v>
      </c>
    </row>
    <row r="265" spans="1:1" x14ac:dyDescent="0.25">
      <c r="A265" s="4" t="s">
        <v>9</v>
      </c>
    </row>
    <row r="266" spans="1:1" x14ac:dyDescent="0.25">
      <c r="A266" s="4" t="str">
        <f>IF(BORRADO3G!H15="","NULL",CONCATENATE("MGAAE:AREA=",BORRADO3G!H15,";"))</f>
        <v>MGAAE:AREA=U49244;</v>
      </c>
    </row>
    <row r="267" spans="1:1" x14ac:dyDescent="0.25">
      <c r="A267" s="4" t="str">
        <f>IF(BORRADO3G!I15="","NULL",CONCATENATE("MGLNE:LOCNO=",BORRADO3G!I15,";"))</f>
        <v>NULL</v>
      </c>
    </row>
    <row r="268" spans="1:1" x14ac:dyDescent="0.25">
      <c r="A268" s="4" t="str">
        <f>IF(BORRADO3G!H16="","NULL",CONCATENATE("MGAAE:AREA=",BORRADO3G!H16,";"))</f>
        <v>MGAAE:AREA=U55902;</v>
      </c>
    </row>
    <row r="269" spans="1:1" x14ac:dyDescent="0.25">
      <c r="A269" s="4" t="str">
        <f>IF(BORRADO3G!I16="","NULL",CONCATENATE("MGLNE:LOCNO=",BORRADO3G!I16,";"))</f>
        <v>NULL</v>
      </c>
    </row>
    <row r="270" spans="1:1" x14ac:dyDescent="0.25">
      <c r="A270" s="4" t="str">
        <f>IF(BORRADO3G!H17="","NULL",CONCATENATE("MGAAE:AREA=",BORRADO3G!H17,";"))</f>
        <v>MGAAE:AREA=U55903;</v>
      </c>
    </row>
    <row r="271" spans="1:1" x14ac:dyDescent="0.25">
      <c r="A271" s="4" t="str">
        <f>IF(BORRADO3G!I17="","NULL",CONCATENATE("MGLNE:LOCNO=",BORRADO3G!I17,";"))</f>
        <v>NULL</v>
      </c>
    </row>
    <row r="272" spans="1:1" x14ac:dyDescent="0.25">
      <c r="A272" s="4" t="str">
        <f>IF(BORRADO3G!H18="","NULL",CONCATENATE("MGAAE:AREA=",BORRADO3G!H18,";"))</f>
        <v>MGAAE:AREA=U55904;</v>
      </c>
    </row>
    <row r="273" spans="1:1" x14ac:dyDescent="0.25">
      <c r="A273" s="4" t="str">
        <f>IF(BORRADO3G!I18="","NULL",CONCATENATE("MGLNE:LOCNO=",BORRADO3G!I18,";"))</f>
        <v>NULL</v>
      </c>
    </row>
    <row r="274" spans="1:1" x14ac:dyDescent="0.25">
      <c r="A274" s="4" t="str">
        <f>IF(BORRADO3G!H19="","NULL",CONCATENATE("MGAAE:AREA=",BORRADO3G!H19,";"))</f>
        <v>MGAAE:AREA=U55905;</v>
      </c>
    </row>
    <row r="275" spans="1:1" x14ac:dyDescent="0.25">
      <c r="A275" s="4" t="str">
        <f>IF(BORRADO3G!I19="","NULL",CONCATENATE("MGLNE:LOCNO=",BORRADO3G!I19,";"))</f>
        <v>NULL</v>
      </c>
    </row>
    <row r="276" spans="1:1" x14ac:dyDescent="0.25">
      <c r="A276" s="4" t="str">
        <f>IF(BORRADO3G!H20="","NULL",CONCATENATE("MGAAE:AREA=",BORRADO3G!H20,";"))</f>
        <v>MGAAE:AREA=U55906;</v>
      </c>
    </row>
    <row r="277" spans="1:1" x14ac:dyDescent="0.25">
      <c r="A277" s="4" t="str">
        <f>IF(BORRADO3G!I20="","NULL",CONCATENATE("MGLNE:LOCNO=",BORRADO3G!I20,";"))</f>
        <v>NULL</v>
      </c>
    </row>
    <row r="278" spans="1:1" x14ac:dyDescent="0.25">
      <c r="A278" s="4" t="str">
        <f>IF(BORRADO3G!H21="","NULL",CONCATENATE("MGAAE:AREA=",BORRADO3G!H21,";"))</f>
        <v>MGAAE:AREA=U55907;</v>
      </c>
    </row>
    <row r="279" spans="1:1" x14ac:dyDescent="0.25">
      <c r="A279" s="4" t="str">
        <f>IF(BORRADO3G!I21="","NULL",CONCATENATE("MGLNE:LOCNO=",BORRADO3G!I21,";"))</f>
        <v>NULL</v>
      </c>
    </row>
    <row r="280" spans="1:1" x14ac:dyDescent="0.25">
      <c r="A280" s="4" t="str">
        <f>IF(BORRADO3G!H22="","NULL",CONCATENATE("MGAAE:AREA=",BORRADO3G!H22,";"))</f>
        <v>MGAAE:AREA=U55908;</v>
      </c>
    </row>
    <row r="281" spans="1:1" x14ac:dyDescent="0.25">
      <c r="A281" s="4" t="str">
        <f>IF(BORRADO3G!I22="","NULL",CONCATENATE("MGLNE:LOCNO=",BORRADO3G!I22,";"))</f>
        <v>NULL</v>
      </c>
    </row>
    <row r="282" spans="1:1" x14ac:dyDescent="0.25">
      <c r="A282" s="4" t="str">
        <f>IF(BORRADO3G!H23="","NULL",CONCATENATE("MGAAE:AREA=",BORRADO3G!H23,";"))</f>
        <v>MGAAE:AREA=U55909;</v>
      </c>
    </row>
    <row r="283" spans="1:1" x14ac:dyDescent="0.25">
      <c r="A283" s="4" t="str">
        <f>IF(BORRADO3G!I23="","NULL",CONCATENATE("MGLNE:LOCNO=",BORRADO3G!I23,";"))</f>
        <v>NULL</v>
      </c>
    </row>
    <row r="284" spans="1:1" x14ac:dyDescent="0.25">
      <c r="A284" s="4" t="str">
        <f>IF(BORRADO3G!H24="","NULL",CONCATENATE("MGAAE:AREA=",BORRADO3G!H24,";"))</f>
        <v>NULL</v>
      </c>
    </row>
    <row r="285" spans="1:1" x14ac:dyDescent="0.25">
      <c r="A285" s="4" t="str">
        <f>IF(BORRADO3G!I24="","NULL",CONCATENATE("MGLNE:LOCNO=",BORRADO3G!I24,";"))</f>
        <v>NULL</v>
      </c>
    </row>
    <row r="286" spans="1:1" x14ac:dyDescent="0.25">
      <c r="A286" s="4" t="str">
        <f>IF(BORRADO3G!H25="","NULL",CONCATENATE("MGAAE:AREA=",BORRADO3G!H25,";"))</f>
        <v>NULL</v>
      </c>
    </row>
    <row r="287" spans="1:1" x14ac:dyDescent="0.25">
      <c r="A287" s="4" t="str">
        <f>IF(BORRADO3G!I25="","NULL",CONCATENATE("MGLNE:LOCNO=",BORRADO3G!I25,";"))</f>
        <v>NULL</v>
      </c>
    </row>
    <row r="288" spans="1:1" x14ac:dyDescent="0.25">
      <c r="A288" s="4" t="str">
        <f>IF(BORRADO3G!H26="","NULL",CONCATENATE("MGAAE:AREA=",BORRADO3G!H26,";"))</f>
        <v>NULL</v>
      </c>
    </row>
    <row r="289" spans="1:1" x14ac:dyDescent="0.25">
      <c r="A289" s="4" t="str">
        <f>IF(BORRADO3G!I26="","NULL",CONCATENATE("MGLNE:LOCNO=",BORRADO3G!I26,";"))</f>
        <v>NULL</v>
      </c>
    </row>
    <row r="291" spans="1:1" x14ac:dyDescent="0.25">
      <c r="A291" s="4" t="s">
        <v>58</v>
      </c>
    </row>
    <row r="292" spans="1:1" x14ac:dyDescent="0.25">
      <c r="A292" s="4" t="s">
        <v>42</v>
      </c>
    </row>
    <row r="293" spans="1:1" x14ac:dyDescent="0.25">
      <c r="A293" s="4" t="s">
        <v>9</v>
      </c>
    </row>
    <row r="294" spans="1:1" x14ac:dyDescent="0.25">
      <c r="A294" s="4" t="s">
        <v>59</v>
      </c>
    </row>
    <row r="295" spans="1:1" x14ac:dyDescent="0.25">
      <c r="A295" s="4" t="s">
        <v>9</v>
      </c>
    </row>
    <row r="296" spans="1:1" x14ac:dyDescent="0.25">
      <c r="A296" s="4" t="str">
        <f>IF(BORRADO3G!H15="","NULL",CONCATENATE("MGAAE:AREA=",BORRADO3G!H15,";"))</f>
        <v>MGAAE:AREA=U49244;</v>
      </c>
    </row>
    <row r="297" spans="1:1" x14ac:dyDescent="0.25">
      <c r="A297" s="4" t="str">
        <f>IF(BORRADO3G!I15="","NULL",CONCATENATE("MGLNE:LOCNO=",BORRADO3G!I15,";"))</f>
        <v>NULL</v>
      </c>
    </row>
    <row r="298" spans="1:1" x14ac:dyDescent="0.25">
      <c r="A298" s="4" t="str">
        <f>IF(BORRADO3G!H16="","NULL",CONCATENATE("MGAAE:AREA=",BORRADO3G!H16,";"))</f>
        <v>MGAAE:AREA=U55902;</v>
      </c>
    </row>
    <row r="299" spans="1:1" x14ac:dyDescent="0.25">
      <c r="A299" s="4" t="str">
        <f>IF(BORRADO3G!I16="","NULL",CONCATENATE("MGLNE:LOCNO=",BORRADO3G!I16,";"))</f>
        <v>NULL</v>
      </c>
    </row>
    <row r="300" spans="1:1" x14ac:dyDescent="0.25">
      <c r="A300" s="4" t="str">
        <f>IF(BORRADO3G!H17="","NULL",CONCATENATE("MGAAE:AREA=",BORRADO3G!H17,";"))</f>
        <v>MGAAE:AREA=U55903;</v>
      </c>
    </row>
    <row r="301" spans="1:1" x14ac:dyDescent="0.25">
      <c r="A301" s="4" t="str">
        <f>IF(BORRADO3G!I17="","NULL",CONCATENATE("MGLNE:LOCNO=",BORRADO3G!I17,";"))</f>
        <v>NULL</v>
      </c>
    </row>
    <row r="302" spans="1:1" x14ac:dyDescent="0.25">
      <c r="A302" s="4" t="str">
        <f>IF(BORRADO3G!H18="","NULL",CONCATENATE("MGAAE:AREA=",BORRADO3G!H18,";"))</f>
        <v>MGAAE:AREA=U55904;</v>
      </c>
    </row>
    <row r="303" spans="1:1" x14ac:dyDescent="0.25">
      <c r="A303" s="4" t="str">
        <f>IF(BORRADO3G!I18="","NULL",CONCATENATE("MGLNE:LOCNO=",BORRADO3G!I18,";"))</f>
        <v>NULL</v>
      </c>
    </row>
    <row r="304" spans="1:1" x14ac:dyDescent="0.25">
      <c r="A304" s="4" t="str">
        <f>IF(BORRADO3G!H19="","NULL",CONCATENATE("MGAAE:AREA=",BORRADO3G!H19,";"))</f>
        <v>MGAAE:AREA=U55905;</v>
      </c>
    </row>
    <row r="305" spans="1:1" x14ac:dyDescent="0.25">
      <c r="A305" s="4" t="str">
        <f>IF(BORRADO3G!I19="","NULL",CONCATENATE("MGLNE:LOCNO=",BORRADO3G!I19,";"))</f>
        <v>NULL</v>
      </c>
    </row>
    <row r="306" spans="1:1" x14ac:dyDescent="0.25">
      <c r="A306" s="4" t="str">
        <f>IF(BORRADO3G!H20="","NULL",CONCATENATE("MGAAE:AREA=",BORRADO3G!H20,";"))</f>
        <v>MGAAE:AREA=U55906;</v>
      </c>
    </row>
    <row r="307" spans="1:1" x14ac:dyDescent="0.25">
      <c r="A307" s="4" t="str">
        <f>IF(BORRADO3G!I20="","NULL",CONCATENATE("MGLNE:LOCNO=",BORRADO3G!I20,";"))</f>
        <v>NULL</v>
      </c>
    </row>
    <row r="308" spans="1:1" x14ac:dyDescent="0.25">
      <c r="A308" s="4" t="str">
        <f>IF(BORRADO3G!H21="","NULL",CONCATENATE("MGAAE:AREA=",BORRADO3G!H21,";"))</f>
        <v>MGAAE:AREA=U55907;</v>
      </c>
    </row>
    <row r="309" spans="1:1" x14ac:dyDescent="0.25">
      <c r="A309" s="4" t="str">
        <f>IF(BORRADO3G!I21="","NULL",CONCATENATE("MGLNE:LOCNO=",BORRADO3G!I21,";"))</f>
        <v>NULL</v>
      </c>
    </row>
    <row r="310" spans="1:1" x14ac:dyDescent="0.25">
      <c r="A310" s="4" t="str">
        <f>IF(BORRADO3G!H22="","NULL",CONCATENATE("MGAAE:AREA=",BORRADO3G!H22,";"))</f>
        <v>MGAAE:AREA=U55908;</v>
      </c>
    </row>
    <row r="311" spans="1:1" x14ac:dyDescent="0.25">
      <c r="A311" s="4" t="str">
        <f>IF(BORRADO3G!I22="","NULL",CONCATENATE("MGLNE:LOCNO=",BORRADO3G!I22,";"))</f>
        <v>NULL</v>
      </c>
    </row>
    <row r="312" spans="1:1" x14ac:dyDescent="0.25">
      <c r="A312" s="4" t="str">
        <f>IF(BORRADO3G!H23="","NULL",CONCATENATE("MGAAE:AREA=",BORRADO3G!H23,";"))</f>
        <v>MGAAE:AREA=U55909;</v>
      </c>
    </row>
    <row r="313" spans="1:1" x14ac:dyDescent="0.25">
      <c r="A313" s="4" t="str">
        <f>IF(BORRADO3G!I23="","NULL",CONCATENATE("MGLNE:LOCNO=",BORRADO3G!I23,";"))</f>
        <v>NULL</v>
      </c>
    </row>
    <row r="314" spans="1:1" x14ac:dyDescent="0.25">
      <c r="A314" s="4" t="str">
        <f>IF(BORRADO3G!H24="","NULL",CONCATENATE("MGAAE:AREA=",BORRADO3G!H24,";"))</f>
        <v>NULL</v>
      </c>
    </row>
    <row r="315" spans="1:1" x14ac:dyDescent="0.25">
      <c r="A315" s="4" t="str">
        <f>IF(BORRADO3G!I24="","NULL",CONCATENATE("MGLNE:LOCNO=",BORRADO3G!I24,";"))</f>
        <v>NULL</v>
      </c>
    </row>
    <row r="316" spans="1:1" x14ac:dyDescent="0.25">
      <c r="A316" s="4" t="str">
        <f>IF(BORRADO3G!H25="","NULL",CONCATENATE("MGAAE:AREA=",BORRADO3G!H25,";"))</f>
        <v>NULL</v>
      </c>
    </row>
    <row r="317" spans="1:1" x14ac:dyDescent="0.25">
      <c r="A317" s="4" t="str">
        <f>IF(BORRADO3G!I25="","NULL",CONCATENATE("MGLNE:LOCNO=",BORRADO3G!I25,";"))</f>
        <v>NULL</v>
      </c>
    </row>
    <row r="318" spans="1:1" x14ac:dyDescent="0.25">
      <c r="A318" s="4" t="str">
        <f>IF(BORRADO3G!H26="","NULL",CONCATENATE("MGAAE:AREA=",BORRADO3G!H26,";"))</f>
        <v>NULL</v>
      </c>
    </row>
    <row r="319" spans="1:1" x14ac:dyDescent="0.25">
      <c r="A319" s="4" t="str">
        <f>IF(BORRADO3G!I26="","NULL",CONCATENATE("MGLNE:LOCNO=",BORRADO3G!I26,";"))</f>
        <v>NULL</v>
      </c>
    </row>
    <row r="321" spans="1:1" x14ac:dyDescent="0.25">
      <c r="A321" s="4" t="s">
        <v>60</v>
      </c>
    </row>
    <row r="322" spans="1:1" x14ac:dyDescent="0.25">
      <c r="A322" s="4" t="s">
        <v>42</v>
      </c>
    </row>
    <row r="323" spans="1:1" x14ac:dyDescent="0.25">
      <c r="A323" s="4" t="s">
        <v>9</v>
      </c>
    </row>
    <row r="324" spans="1:1" x14ac:dyDescent="0.25">
      <c r="A324" s="4" t="s">
        <v>61</v>
      </c>
    </row>
    <row r="325" spans="1:1" x14ac:dyDescent="0.25">
      <c r="A325" s="4" t="s">
        <v>9</v>
      </c>
    </row>
    <row r="326" spans="1:1" x14ac:dyDescent="0.25">
      <c r="A326" s="4" t="str">
        <f>IF(BORRADO3G!H15="","NULL",CONCATENATE("MGAAE:AREA=",BORRADO3G!H15,";"))</f>
        <v>MGAAE:AREA=U49244;</v>
      </c>
    </row>
    <row r="327" spans="1:1" x14ac:dyDescent="0.25">
      <c r="A327" s="4" t="str">
        <f>IF(BORRADO3G!I15="","NULL",CONCATENATE("MGLNE:LOCNO=",BORRADO3G!I15,";"))</f>
        <v>NULL</v>
      </c>
    </row>
    <row r="328" spans="1:1" x14ac:dyDescent="0.25">
      <c r="A328" s="4" t="str">
        <f>IF(BORRADO3G!H16="","NULL",CONCATENATE("MGAAE:AREA=",BORRADO3G!H16,";"))</f>
        <v>MGAAE:AREA=U55902;</v>
      </c>
    </row>
    <row r="329" spans="1:1" x14ac:dyDescent="0.25">
      <c r="A329" s="4" t="str">
        <f>IF(BORRADO3G!I16="","NULL",CONCATENATE("MGLNE:LOCNO=",BORRADO3G!I16,";"))</f>
        <v>NULL</v>
      </c>
    </row>
    <row r="330" spans="1:1" x14ac:dyDescent="0.25">
      <c r="A330" s="4" t="str">
        <f>IF(BORRADO3G!H17="","NULL",CONCATENATE("MGAAE:AREA=",BORRADO3G!H17,";"))</f>
        <v>MGAAE:AREA=U55903;</v>
      </c>
    </row>
    <row r="331" spans="1:1" x14ac:dyDescent="0.25">
      <c r="A331" s="4" t="str">
        <f>IF(BORRADO3G!I17="","NULL",CONCATENATE("MGLNE:LOCNO=",BORRADO3G!I17,";"))</f>
        <v>NULL</v>
      </c>
    </row>
    <row r="332" spans="1:1" x14ac:dyDescent="0.25">
      <c r="A332" s="4" t="str">
        <f>IF(BORRADO3G!H18="","NULL",CONCATENATE("MGAAE:AREA=",BORRADO3G!H18,";"))</f>
        <v>MGAAE:AREA=U55904;</v>
      </c>
    </row>
    <row r="333" spans="1:1" x14ac:dyDescent="0.25">
      <c r="A333" s="4" t="str">
        <f>IF(BORRADO3G!I18="","NULL",CONCATENATE("MGLNE:LOCNO=",BORRADO3G!I18,";"))</f>
        <v>NULL</v>
      </c>
    </row>
    <row r="334" spans="1:1" x14ac:dyDescent="0.25">
      <c r="A334" s="4" t="str">
        <f>IF(BORRADO3G!H19="","NULL",CONCATENATE("MGAAE:AREA=",BORRADO3G!H19,";"))</f>
        <v>MGAAE:AREA=U55905;</v>
      </c>
    </row>
    <row r="335" spans="1:1" x14ac:dyDescent="0.25">
      <c r="A335" s="4" t="str">
        <f>IF(BORRADO3G!I19="","NULL",CONCATENATE("MGLNE:LOCNO=",BORRADO3G!I19,";"))</f>
        <v>NULL</v>
      </c>
    </row>
    <row r="336" spans="1:1" x14ac:dyDescent="0.25">
      <c r="A336" s="4" t="str">
        <f>IF(BORRADO3G!H20="","NULL",CONCATENATE("MGAAE:AREA=",BORRADO3G!H20,";"))</f>
        <v>MGAAE:AREA=U55906;</v>
      </c>
    </row>
    <row r="337" spans="1:1" x14ac:dyDescent="0.25">
      <c r="A337" s="4" t="str">
        <f>IF(BORRADO3G!I20="","NULL",CONCATENATE("MGLNE:LOCNO=",BORRADO3G!I20,";"))</f>
        <v>NULL</v>
      </c>
    </row>
    <row r="338" spans="1:1" x14ac:dyDescent="0.25">
      <c r="A338" s="4" t="str">
        <f>IF(BORRADO3G!H21="","NULL",CONCATENATE("MGAAE:AREA=",BORRADO3G!H21,";"))</f>
        <v>MGAAE:AREA=U55907;</v>
      </c>
    </row>
    <row r="339" spans="1:1" x14ac:dyDescent="0.25">
      <c r="A339" s="4" t="str">
        <f>IF(BORRADO3G!I21="","NULL",CONCATENATE("MGLNE:LOCNO=",BORRADO3G!I21,";"))</f>
        <v>NULL</v>
      </c>
    </row>
    <row r="340" spans="1:1" x14ac:dyDescent="0.25">
      <c r="A340" s="4" t="str">
        <f>IF(BORRADO3G!H22="","NULL",CONCATENATE("MGAAE:AREA=",BORRADO3G!H22,";"))</f>
        <v>MGAAE:AREA=U55908;</v>
      </c>
    </row>
    <row r="341" spans="1:1" x14ac:dyDescent="0.25">
      <c r="A341" s="4" t="str">
        <f>IF(BORRADO3G!I22="","NULL",CONCATENATE("MGLNE:LOCNO=",BORRADO3G!I22,";"))</f>
        <v>NULL</v>
      </c>
    </row>
    <row r="342" spans="1:1" x14ac:dyDescent="0.25">
      <c r="A342" s="4" t="str">
        <f>IF(BORRADO3G!H23="","NULL",CONCATENATE("MGAAE:AREA=",BORRADO3G!H23,";"))</f>
        <v>MGAAE:AREA=U55909;</v>
      </c>
    </row>
    <row r="343" spans="1:1" x14ac:dyDescent="0.25">
      <c r="A343" s="4" t="str">
        <f>IF(BORRADO3G!I23="","NULL",CONCATENATE("MGLNE:LOCNO=",BORRADO3G!I23,";"))</f>
        <v>NULL</v>
      </c>
    </row>
    <row r="344" spans="1:1" x14ac:dyDescent="0.25">
      <c r="A344" s="4" t="str">
        <f>IF(BORRADO3G!H24="","NULL",CONCATENATE("MGAAE:AREA=",BORRADO3G!H24,";"))</f>
        <v>NULL</v>
      </c>
    </row>
    <row r="345" spans="1:1" x14ac:dyDescent="0.25">
      <c r="A345" s="4" t="str">
        <f>IF(BORRADO3G!I24="","NULL",CONCATENATE("MGLNE:LOCNO=",BORRADO3G!I24,";"))</f>
        <v>NULL</v>
      </c>
    </row>
    <row r="346" spans="1:1" x14ac:dyDescent="0.25">
      <c r="A346" s="4" t="str">
        <f>IF(BORRADO3G!H25="","NULL",CONCATENATE("MGAAE:AREA=",BORRADO3G!H25,";"))</f>
        <v>NULL</v>
      </c>
    </row>
    <row r="347" spans="1:1" x14ac:dyDescent="0.25">
      <c r="A347" s="4" t="str">
        <f>IF(BORRADO3G!I25="","NULL",CONCATENATE("MGLNE:LOCNO=",BORRADO3G!I25,";"))</f>
        <v>NULL</v>
      </c>
    </row>
    <row r="348" spans="1:1" x14ac:dyDescent="0.25">
      <c r="A348" s="4" t="str">
        <f>IF(BORRADO3G!H26="","NULL",CONCATENATE("MGAAE:AREA=",BORRADO3G!H26,";"))</f>
        <v>NULL</v>
      </c>
    </row>
    <row r="349" spans="1:1" x14ac:dyDescent="0.25">
      <c r="A349" s="4" t="str">
        <f>IF(BORRADO3G!I26="","NULL",CONCATENATE("MGLNE:LOCNO=",BORRADO3G!I26,";"))</f>
        <v>NULL</v>
      </c>
    </row>
    <row r="351" spans="1:1" x14ac:dyDescent="0.25">
      <c r="A351" s="4" t="s">
        <v>44</v>
      </c>
    </row>
    <row r="352" spans="1:1" x14ac:dyDescent="0.25">
      <c r="A352" s="4" t="s">
        <v>42</v>
      </c>
    </row>
    <row r="353" spans="1:1" x14ac:dyDescent="0.25">
      <c r="A353" s="4" t="s">
        <v>9</v>
      </c>
    </row>
    <row r="354" spans="1:1" x14ac:dyDescent="0.25">
      <c r="A354" s="4" t="s">
        <v>45</v>
      </c>
    </row>
    <row r="355" spans="1:1" x14ac:dyDescent="0.25">
      <c r="A355" s="4" t="s">
        <v>9</v>
      </c>
    </row>
    <row r="356" spans="1:1" x14ac:dyDescent="0.25">
      <c r="A356" s="4" t="str">
        <f>IF(BORRADO3G!H15="","NULL",CONCATENATE("MGAAE:AREA=",BORRADO3G!H15,";"))</f>
        <v>MGAAE:AREA=U49244;</v>
      </c>
    </row>
    <row r="357" spans="1:1" x14ac:dyDescent="0.25">
      <c r="A357" s="4" t="str">
        <f>IF(BORRADO3G!I15="","NULL",CONCATENATE("MGLNE:LOCNO=",BORRADO3G!I15,";"))</f>
        <v>NULL</v>
      </c>
    </row>
    <row r="358" spans="1:1" x14ac:dyDescent="0.25">
      <c r="A358" s="4" t="str">
        <f>IF(BORRADO3G!H16="","NULL",CONCATENATE("MGAAE:AREA=",BORRADO3G!H16,";"))</f>
        <v>MGAAE:AREA=U55902;</v>
      </c>
    </row>
    <row r="359" spans="1:1" x14ac:dyDescent="0.25">
      <c r="A359" s="4" t="str">
        <f>IF(BORRADO3G!I16="","NULL",CONCATENATE("MGLNE:LOCNO=",BORRADO3G!I16,";"))</f>
        <v>NULL</v>
      </c>
    </row>
    <row r="360" spans="1:1" x14ac:dyDescent="0.25">
      <c r="A360" s="4" t="str">
        <f>IF(BORRADO3G!H17="","NULL",CONCATENATE("MGAAE:AREA=",BORRADO3G!H17,";"))</f>
        <v>MGAAE:AREA=U55903;</v>
      </c>
    </row>
    <row r="361" spans="1:1" x14ac:dyDescent="0.25">
      <c r="A361" s="4" t="str">
        <f>IF(BORRADO3G!I17="","NULL",CONCATENATE("MGLNE:LOCNO=",BORRADO3G!I17,";"))</f>
        <v>NULL</v>
      </c>
    </row>
    <row r="362" spans="1:1" x14ac:dyDescent="0.25">
      <c r="A362" s="4" t="str">
        <f>IF(BORRADO3G!H18="","NULL",CONCATENATE("MGAAE:AREA=",BORRADO3G!H18,";"))</f>
        <v>MGAAE:AREA=U55904;</v>
      </c>
    </row>
    <row r="363" spans="1:1" x14ac:dyDescent="0.25">
      <c r="A363" s="4" t="str">
        <f>IF(BORRADO3G!I18="","NULL",CONCATENATE("MGLNE:LOCNO=",BORRADO3G!I18,";"))</f>
        <v>NULL</v>
      </c>
    </row>
    <row r="364" spans="1:1" x14ac:dyDescent="0.25">
      <c r="A364" s="4" t="str">
        <f>IF(BORRADO3G!H19="","NULL",CONCATENATE("MGAAE:AREA=",BORRADO3G!H19,";"))</f>
        <v>MGAAE:AREA=U55905;</v>
      </c>
    </row>
    <row r="365" spans="1:1" x14ac:dyDescent="0.25">
      <c r="A365" s="4" t="str">
        <f>IF(BORRADO3G!I19="","NULL",CONCATENATE("MGLNE:LOCNO=",BORRADO3G!I19,";"))</f>
        <v>NULL</v>
      </c>
    </row>
    <row r="366" spans="1:1" x14ac:dyDescent="0.25">
      <c r="A366" s="4" t="str">
        <f>IF(BORRADO3G!H20="","NULL",CONCATENATE("MGAAE:AREA=",BORRADO3G!H20,";"))</f>
        <v>MGAAE:AREA=U55906;</v>
      </c>
    </row>
    <row r="367" spans="1:1" x14ac:dyDescent="0.25">
      <c r="A367" s="4" t="str">
        <f>IF(BORRADO3G!I20="","NULL",CONCATENATE("MGLNE:LOCNO=",BORRADO3G!I20,";"))</f>
        <v>NULL</v>
      </c>
    </row>
    <row r="368" spans="1:1" x14ac:dyDescent="0.25">
      <c r="A368" s="4" t="str">
        <f>IF(BORRADO3G!H21="","NULL",CONCATENATE("MGAAE:AREA=",BORRADO3G!H21,";"))</f>
        <v>MGAAE:AREA=U55907;</v>
      </c>
    </row>
    <row r="369" spans="1:1" x14ac:dyDescent="0.25">
      <c r="A369" s="4" t="str">
        <f>IF(BORRADO3G!I21="","NULL",CONCATENATE("MGLNE:LOCNO=",BORRADO3G!I21,";"))</f>
        <v>NULL</v>
      </c>
    </row>
    <row r="370" spans="1:1" x14ac:dyDescent="0.25">
      <c r="A370" s="4" t="str">
        <f>IF(BORRADO3G!H22="","NULL",CONCATENATE("MGAAE:AREA=",BORRADO3G!H22,";"))</f>
        <v>MGAAE:AREA=U55908;</v>
      </c>
    </row>
    <row r="371" spans="1:1" x14ac:dyDescent="0.25">
      <c r="A371" s="4" t="str">
        <f>IF(BORRADO3G!I22="","NULL",CONCATENATE("MGLNE:LOCNO=",BORRADO3G!I22,";"))</f>
        <v>NULL</v>
      </c>
    </row>
    <row r="372" spans="1:1" x14ac:dyDescent="0.25">
      <c r="A372" s="4" t="str">
        <f>IF(BORRADO3G!H23="","NULL",CONCATENATE("MGAAE:AREA=",BORRADO3G!H23,";"))</f>
        <v>MGAAE:AREA=U55909;</v>
      </c>
    </row>
    <row r="373" spans="1:1" x14ac:dyDescent="0.25">
      <c r="A373" s="4" t="str">
        <f>IF(BORRADO3G!I23="","NULL",CONCATENATE("MGLNE:LOCNO=",BORRADO3G!I23,";"))</f>
        <v>NULL</v>
      </c>
    </row>
    <row r="374" spans="1:1" x14ac:dyDescent="0.25">
      <c r="A374" s="4" t="str">
        <f>IF(BORRADO3G!H24="","NULL",CONCATENATE("MGAAE:AREA=",BORRADO3G!H24,";"))</f>
        <v>NULL</v>
      </c>
    </row>
    <row r="375" spans="1:1" x14ac:dyDescent="0.25">
      <c r="A375" s="4" t="str">
        <f>IF(BORRADO3G!I24="","NULL",CONCATENATE("MGLNE:LOCNO=",BORRADO3G!I24,";"))</f>
        <v>NULL</v>
      </c>
    </row>
    <row r="376" spans="1:1" x14ac:dyDescent="0.25">
      <c r="A376" s="4" t="str">
        <f>IF(BORRADO3G!H25="","NULL",CONCATENATE("MGAAE:AREA=",BORRADO3G!H25,";"))</f>
        <v>NULL</v>
      </c>
    </row>
    <row r="377" spans="1:1" x14ac:dyDescent="0.25">
      <c r="A377" s="4" t="str">
        <f>IF(BORRADO3G!I25="","NULL",CONCATENATE("MGLNE:LOCNO=",BORRADO3G!I25,";"))</f>
        <v>NULL</v>
      </c>
    </row>
    <row r="378" spans="1:1" x14ac:dyDescent="0.25">
      <c r="A378" s="4" t="str">
        <f>IF(BORRADO3G!H26="","NULL",CONCATENATE("MGAAE:AREA=",BORRADO3G!H26,";"))</f>
        <v>NULL</v>
      </c>
    </row>
    <row r="379" spans="1:1" x14ac:dyDescent="0.25">
      <c r="A379" s="4" t="str">
        <f>IF(BORRADO3G!I26="","NULL",CONCATENATE("MGLNE:LOCNO=",BORRADO3G!I26,";"))</f>
        <v>NULL</v>
      </c>
    </row>
    <row r="381" spans="1:1" x14ac:dyDescent="0.25">
      <c r="A381" s="4" t="s">
        <v>36</v>
      </c>
    </row>
    <row r="382" spans="1:1" x14ac:dyDescent="0.25">
      <c r="A382" s="4" t="s">
        <v>63</v>
      </c>
    </row>
    <row r="383" spans="1:1" x14ac:dyDescent="0.25">
      <c r="A383" s="4" t="s">
        <v>64</v>
      </c>
    </row>
    <row r="384" spans="1:1" x14ac:dyDescent="0.25">
      <c r="A384" s="4" t="s">
        <v>9</v>
      </c>
    </row>
    <row r="385" spans="1:1" x14ac:dyDescent="0.25">
      <c r="A385" s="4" t="s">
        <v>10</v>
      </c>
    </row>
    <row r="386" spans="1:1" x14ac:dyDescent="0.25">
      <c r="A386" s="4" t="s">
        <v>9</v>
      </c>
    </row>
    <row r="387" spans="1:1" x14ac:dyDescent="0.25">
      <c r="A387" s="4" t="s">
        <v>65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14"/>
  <sheetViews>
    <sheetView zoomScale="85" zoomScaleNormal="85" workbookViewId="0">
      <selection activeCell="A2" sqref="A2"/>
    </sheetView>
  </sheetViews>
  <sheetFormatPr baseColWidth="10" defaultRowHeight="15" x14ac:dyDescent="0.25"/>
  <cols>
    <col min="1" max="1" width="55.42578125" style="4" bestFit="1" customWidth="1"/>
  </cols>
  <sheetData>
    <row r="1" spans="1:1" x14ac:dyDescent="0.25">
      <c r="A1" s="4" t="str">
        <f>CONCATENATE("DT_",BORRADO3G!C7,"_Delete_Cell_(",BORRADO3G!C12,").txt")</f>
        <v>DT_UHL223_Delete_Cell_(TEER01).txt</v>
      </c>
    </row>
    <row r="2" spans="1:1" x14ac:dyDescent="0.25">
      <c r="A2" s="4" t="s">
        <v>8</v>
      </c>
    </row>
    <row r="5" spans="1:1" x14ac:dyDescent="0.25">
      <c r="A5" s="4" t="str">
        <f>CONCATENATE("amos ",BORRADO3G!C12,"")</f>
        <v>amos TEER01</v>
      </c>
    </row>
    <row r="6" spans="1:1" x14ac:dyDescent="0.25">
      <c r="A6" s="4" t="s">
        <v>83</v>
      </c>
    </row>
    <row r="7" spans="1:1" x14ac:dyDescent="0.25">
      <c r="A7" s="4" t="s">
        <v>84</v>
      </c>
    </row>
    <row r="8" spans="1:1" x14ac:dyDescent="0.25">
      <c r="A8" s="4" t="str">
        <f>CONCATENATE("@L+ ",BORRADO3G!C7,"_Delete_Cell_(",BORRADO3G!C12,").log")</f>
        <v>@L+ UHL223_Delete_Cell_(TEER01).log</v>
      </c>
    </row>
    <row r="9" spans="1:1" x14ac:dyDescent="0.25">
      <c r="A9" s="4" t="str">
        <f>CONCATENATE("lrdel ",BORRADO3G!C13,"")</f>
        <v>lrdel UHL223</v>
      </c>
    </row>
    <row r="10" spans="1:1" x14ac:dyDescent="0.25">
      <c r="A10" s="4" t="s">
        <v>85</v>
      </c>
    </row>
    <row r="11" spans="1:1" x14ac:dyDescent="0.25">
      <c r="A11" s="4" t="s">
        <v>85</v>
      </c>
    </row>
    <row r="12" spans="1:1" x14ac:dyDescent="0.25">
      <c r="A12" s="4" t="s">
        <v>86</v>
      </c>
    </row>
    <row r="13" spans="1:1" x14ac:dyDescent="0.25">
      <c r="A13" s="4" t="s">
        <v>65</v>
      </c>
    </row>
    <row r="14" spans="1:1" x14ac:dyDescent="0.25">
      <c r="A14" s="4" t="s">
        <v>87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BORRADO</vt:lpstr>
      <vt:lpstr>Script</vt:lpstr>
      <vt:lpstr>BORRADO3G</vt:lpstr>
      <vt:lpstr>script_3g</vt:lpstr>
      <vt:lpstr>Script3GRNC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Cristopher-PC</dc:creator>
  <cp:lastModifiedBy>Ledesma Piero</cp:lastModifiedBy>
  <dcterms:created xsi:type="dcterms:W3CDTF">2013-09-25T01:33:15Z</dcterms:created>
  <dcterms:modified xsi:type="dcterms:W3CDTF">2023-09-30T14:02:32Z</dcterms:modified>
</cp:coreProperties>
</file>